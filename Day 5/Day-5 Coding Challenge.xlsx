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ebb57f00ed434c05/Documents/"/>
    </mc:Choice>
  </mc:AlternateContent>
  <xr:revisionPtr revIDLastSave="11" documentId="8_{7A031FF0-C585-4245-9F1D-46EC1B95AA3C}" xr6:coauthVersionLast="47" xr6:coauthVersionMax="47" xr10:uidLastSave="{50A4F23A-C3CC-4209-83E5-E617436D37B5}"/>
  <bookViews>
    <workbookView xWindow="-108" yWindow="-108" windowWidth="23256" windowHeight="12456" activeTab="4" xr2:uid="{FDFB05A2-5726-40BC-A16F-3C3423A9F4E4}"/>
  </bookViews>
  <sheets>
    <sheet name="help_desk_tickets Raw Data" sheetId="1" r:id="rId1"/>
    <sheet name="Cleaned Data" sheetId="2" r:id="rId2"/>
    <sheet name="Pivot Tables" sheetId="3" r:id="rId3"/>
    <sheet name="Dashboard" sheetId="4" r:id="rId4"/>
    <sheet name="Top Problems &amp; root causes" sheetId="5" r:id="rId5"/>
  </sheets>
  <definedNames>
    <definedName name="Slicer_category">#N/A</definedName>
    <definedName name="Slicer_Month">#N/A</definedName>
    <definedName name="Slicer_priority">#N/A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5" l="1"/>
  <c r="D3" i="5"/>
  <c r="D2" i="5"/>
  <c r="D1" i="5"/>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alcChain>
</file>

<file path=xl/sharedStrings.xml><?xml version="1.0" encoding="utf-8"?>
<sst xmlns="http://schemas.openxmlformats.org/spreadsheetml/2006/main" count="1682" uniqueCount="353">
  <si>
    <t>ticket_id</t>
  </si>
  <si>
    <t>submission_date</t>
  </si>
  <si>
    <t>resolution_date</t>
  </si>
  <si>
    <t>category</t>
  </si>
  <si>
    <t>assigned_analyst</t>
  </si>
  <si>
    <t>description</t>
  </si>
  <si>
    <t>priority</t>
  </si>
  <si>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</si>
  <si>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</si>
  <si>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</si>
  <si>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</si>
  <si>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</si>
  <si>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</si>
  <si>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</si>
  <si>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</si>
  <si>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</si>
  <si>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</si>
  <si>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</si>
  <si>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</si>
  <si>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</si>
  <si>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</si>
  <si>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</si>
  <si>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</si>
  <si>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</si>
  <si>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</si>
  <si>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</si>
  <si>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</si>
  <si>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</si>
  <si>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</si>
  <si>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</si>
  <si>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</si>
  <si>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</si>
  <si>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</si>
  <si>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</si>
  <si>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</si>
  <si>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</si>
  <si>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</si>
  <si>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</si>
  <si>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</si>
  <si>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</si>
  <si>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</si>
  <si>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</si>
  <si>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</si>
  <si>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</si>
  <si>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</si>
  <si>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</si>
  <si>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</si>
  <si>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</si>
  <si>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</si>
  <si>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</si>
  <si>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</si>
  <si>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</si>
  <si>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</si>
  <si>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</si>
  <si>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</si>
  <si>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</si>
  <si>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</si>
  <si>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</si>
  <si>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</si>
  <si>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</si>
  <si>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</si>
  <si>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</si>
  <si>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</si>
  <si>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</si>
  <si>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</si>
  <si>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</si>
  <si>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</si>
  <si>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</si>
  <si>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</si>
  <si>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</si>
  <si>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</si>
  <si>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</si>
  <si>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</si>
  <si>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</si>
  <si>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</si>
  <si>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</si>
  <si>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</si>
  <si>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</si>
  <si>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</si>
  <si>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</si>
  <si>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</si>
  <si>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</si>
  <si>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</si>
  <si>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</si>
  <si>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</si>
  <si>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</si>
  <si>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</si>
  <si>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</si>
  <si>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</si>
  <si>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</si>
  <si>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</si>
  <si>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</si>
  <si>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</si>
  <si>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</si>
  <si>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</si>
  <si>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</si>
  <si>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</si>
  <si>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</si>
  <si>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</si>
  <si>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</si>
  <si>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</si>
  <si>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</si>
  <si>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</si>
  <si>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</si>
  <si>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</si>
  <si>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</si>
  <si>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</si>
  <si>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</si>
  <si>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</si>
  <si>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</si>
  <si>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</si>
  <si>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</si>
  <si>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</si>
  <si>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</si>
  <si>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</si>
  <si>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</si>
  <si>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</si>
  <si>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</si>
  <si>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</si>
  <si>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</si>
  <si>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</si>
  <si>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</si>
  <si>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</si>
  <si>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</si>
  <si>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</si>
  <si>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</si>
  <si>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</si>
  <si>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</si>
  <si>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</si>
  <si>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</si>
  <si>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</si>
  <si>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</si>
  <si>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</si>
  <si>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</si>
  <si>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</si>
  <si>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</si>
  <si>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</si>
  <si>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</si>
  <si>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</si>
  <si>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</si>
  <si>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</si>
  <si>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</si>
  <si>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</si>
  <si>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</si>
  <si>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</si>
  <si>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</si>
  <si>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</si>
  <si>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</si>
  <si>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</si>
  <si>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</si>
  <si>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</si>
  <si>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</si>
  <si>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</si>
  <si>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</si>
  <si>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</si>
  <si>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</si>
  <si>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</si>
  <si>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</si>
  <si>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</si>
  <si>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</si>
  <si>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</si>
  <si>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</si>
  <si>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</si>
  <si>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</si>
  <si>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</si>
  <si>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</si>
  <si>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</si>
  <si>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</si>
  <si>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</si>
  <si>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</si>
  <si>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</si>
  <si>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</si>
  <si>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</si>
  <si>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</si>
  <si>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</si>
  <si>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</si>
  <si>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</si>
  <si>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</si>
  <si>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</si>
  <si>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</si>
  <si>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</si>
  <si>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</si>
  <si>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</si>
  <si>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</si>
  <si>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</si>
  <si>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</si>
  <si>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</si>
  <si>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</si>
  <si>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</si>
  <si>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</si>
  <si>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</si>
  <si>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</si>
  <si>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</si>
  <si>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</si>
  <si>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</si>
  <si>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</si>
  <si>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</si>
  <si>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</si>
  <si>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</si>
  <si>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</si>
  <si>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</si>
  <si>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</si>
  <si>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</si>
  <si>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</si>
  <si>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</si>
  <si>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</si>
  <si>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</si>
  <si>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</si>
  <si>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</si>
  <si>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</si>
  <si>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</si>
  <si>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</si>
  <si>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</si>
  <si>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</si>
  <si>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</si>
  <si>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</si>
  <si>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</si>
  <si>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</si>
  <si>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</si>
  <si>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</si>
  <si>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</si>
  <si>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</si>
  <si>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</si>
  <si>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</si>
  <si>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</si>
  <si>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</si>
  <si>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</si>
  <si>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</si>
  <si>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</si>
  <si>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</si>
  <si>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</si>
  <si>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</si>
  <si>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</si>
  <si>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</si>
  <si>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</si>
  <si>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</si>
  <si>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</si>
  <si>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</si>
  <si>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</si>
  <si>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</si>
  <si>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</si>
  <si>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</si>
  <si>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</si>
  <si>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</si>
  <si>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</si>
  <si>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</si>
  <si>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</si>
  <si>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</si>
  <si>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</si>
  <si>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</si>
  <si>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</si>
  <si>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</si>
  <si>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</si>
  <si>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</si>
  <si>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</si>
  <si>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</si>
  <si>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</si>
  <si>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</si>
  <si>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</si>
  <si>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</si>
  <si>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</si>
  <si>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</si>
  <si>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</si>
  <si>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</si>
  <si>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</si>
  <si>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</si>
  <si>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</si>
  <si>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</si>
  <si>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</si>
  <si>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</si>
  <si>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</si>
  <si>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</si>
  <si>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</si>
  <si>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</si>
  <si>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</si>
  <si>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</si>
  <si>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</si>
  <si>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</si>
  <si>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</si>
  <si>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</si>
  <si>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</si>
  <si>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</si>
  <si>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</si>
  <si>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</si>
  <si>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</si>
  <si>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</si>
  <si>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</si>
  <si>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</si>
  <si>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</si>
  <si>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</si>
  <si>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</si>
  <si>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</si>
  <si>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</si>
  <si>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</si>
  <si>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</si>
  <si>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</si>
  <si>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</si>
  <si>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</si>
  <si>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</si>
  <si>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</si>
  <si>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</si>
  <si>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</si>
  <si>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</si>
  <si>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</si>
  <si>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</si>
  <si>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</si>
  <si>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</si>
  <si>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</si>
  <si>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</si>
  <si>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</si>
  <si>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</si>
  <si>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</si>
  <si>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</si>
  <si>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</si>
  <si>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</si>
  <si>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</si>
  <si>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</si>
  <si>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</si>
  <si>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</si>
  <si>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</si>
  <si>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</si>
  <si>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</si>
  <si>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</si>
  <si>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</si>
  <si>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</si>
  <si>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</si>
  <si>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</si>
  <si>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</si>
  <si>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Month</t>
  </si>
  <si>
    <t>Resolution Time</t>
  </si>
  <si>
    <t>Days of week</t>
  </si>
  <si>
    <t>Hours</t>
  </si>
  <si>
    <t>Row Labels</t>
  </si>
  <si>
    <t>Grand Total</t>
  </si>
  <si>
    <t>Tue</t>
  </si>
  <si>
    <t>Sat</t>
  </si>
  <si>
    <t>Fri</t>
  </si>
  <si>
    <t>Wed</t>
  </si>
  <si>
    <t>Sun</t>
  </si>
  <si>
    <t>Mon</t>
  </si>
  <si>
    <t>Thu</t>
  </si>
  <si>
    <t>Count of ticket_id</t>
  </si>
  <si>
    <t>Sum of Resolution Time</t>
  </si>
  <si>
    <t>Column Labels</t>
  </si>
  <si>
    <t>Average of Resolution Time</t>
  </si>
  <si>
    <t>Application X</t>
  </si>
  <si>
    <t>Wi-Fi</t>
  </si>
  <si>
    <t>Password</t>
  </si>
  <si>
    <t>Laptop</t>
  </si>
  <si>
    <t>The analysis shows that Application X issues Are the most frequent indicating a major system software problem</t>
  </si>
  <si>
    <t>Reccuring Wi-Fi and Laptop issues suggest network instability ans hardware-related concerns</t>
  </si>
  <si>
    <t>while password issues highlights challenges in user authentication</t>
  </si>
  <si>
    <t>These patterns points to multiple systemic issues affecting overall system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</si>
</sst>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7" fontId="0" fillId="0" borderId="0" xfId="0" applyNumberFormat="1"/>
    <xf numFmtId="0" fontId="0" fillId="0" borderId="0" xfId="0" applyAlignment="1">
      <alignment wrapText="1"/>
    </xf>
    <xf numFmtId="0" fontId="0" fillId="33" borderId="10" xfId="0" applyFont="1" applyFill="1" applyBorder="1"/>
    <xf numFmtId="0" fontId="0" fillId="0" borderId="10" xfId="0" applyFont="1" applyBorder="1"/>
    <xf numFmtId="14" fontId="0" fillId="0" borderId="0" xfId="0" applyNumberFormat="1"/>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2"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 Coding Challenge.xlsx]Pivot Tables!PivotTable1</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lumMod val="50000"/>
              </a:schemeClr>
            </a:solidFill>
            <a:round/>
          </a:ln>
          <a:effectLst/>
        </c:spPr>
        <c:marker>
          <c:symbol val="circle"/>
          <c:size val="5"/>
          <c:spPr>
            <a:solidFill>
              <a:schemeClr val="accent5">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lumMod val="50000"/>
              </a:schemeClr>
            </a:solidFill>
            <a:round/>
          </a:ln>
          <a:effectLst/>
        </c:spPr>
        <c:marker>
          <c:symbol val="circle"/>
          <c:size val="5"/>
          <c:spPr>
            <a:solidFill>
              <a:schemeClr val="accent5">
                <a:lumMod val="75000"/>
              </a:schemeClr>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75000"/>
              </a:schemeClr>
            </a:solidFill>
            <a:round/>
          </a:ln>
          <a:effectLst/>
        </c:spPr>
        <c:marker>
          <c:symbol val="circle"/>
          <c:size val="5"/>
          <c:spPr>
            <a:solidFill>
              <a:schemeClr val="accent5">
                <a:lumMod val="75000"/>
              </a:schemeClr>
            </a:solidFill>
            <a:ln w="9525">
              <a:solidFill>
                <a:schemeClr val="accent4">
                  <a:lumMod val="7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c:f>
              <c:strCache>
                <c:ptCount val="1"/>
                <c:pt idx="0">
                  <c:v>Total</c:v>
                </c:pt>
              </c:strCache>
            </c:strRef>
          </c:tx>
          <c:spPr>
            <a:ln w="28575" cap="rnd">
              <a:solidFill>
                <a:schemeClr val="accent4">
                  <a:lumMod val="75000"/>
                </a:schemeClr>
              </a:solidFill>
              <a:round/>
            </a:ln>
            <a:effectLst/>
          </c:spPr>
          <c:marker>
            <c:symbol val="circle"/>
            <c:size val="5"/>
            <c:spPr>
              <a:solidFill>
                <a:schemeClr val="accent5">
                  <a:lumMod val="75000"/>
                </a:schemeClr>
              </a:solidFill>
              <a:ln w="9525">
                <a:solidFill>
                  <a:schemeClr val="accent4">
                    <a:lumMod val="75000"/>
                  </a:schemeClr>
                </a:solidFill>
              </a:ln>
              <a:effectLst/>
            </c:spPr>
          </c:marker>
          <c:cat>
            <c:strRef>
              <c:f>'Pivot Tables'!$A$4:$A$28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Tables'!$B$4:$B$28</c:f>
              <c:numCache>
                <c:formatCode>General</c:formatCode>
                <c:ptCount val="24"/>
                <c:pt idx="0">
                  <c:v>5</c:v>
                </c:pt>
                <c:pt idx="1">
                  <c:v>8</c:v>
                </c:pt>
                <c:pt idx="2">
                  <c:v>5</c:v>
                </c:pt>
                <c:pt idx="3">
                  <c:v>1</c:v>
                </c:pt>
                <c:pt idx="4">
                  <c:v>3</c:v>
                </c:pt>
                <c:pt idx="5">
                  <c:v>4</c:v>
                </c:pt>
                <c:pt idx="6">
                  <c:v>7</c:v>
                </c:pt>
                <c:pt idx="7">
                  <c:v>7</c:v>
                </c:pt>
                <c:pt idx="8">
                  <c:v>5</c:v>
                </c:pt>
                <c:pt idx="9">
                  <c:v>10</c:v>
                </c:pt>
                <c:pt idx="10">
                  <c:v>9</c:v>
                </c:pt>
                <c:pt idx="11">
                  <c:v>10</c:v>
                </c:pt>
                <c:pt idx="12">
                  <c:v>6</c:v>
                </c:pt>
                <c:pt idx="13">
                  <c:v>6</c:v>
                </c:pt>
                <c:pt idx="14">
                  <c:v>6</c:v>
                </c:pt>
                <c:pt idx="15">
                  <c:v>5</c:v>
                </c:pt>
                <c:pt idx="16">
                  <c:v>10</c:v>
                </c:pt>
                <c:pt idx="17">
                  <c:v>6</c:v>
                </c:pt>
                <c:pt idx="18">
                  <c:v>3</c:v>
                </c:pt>
                <c:pt idx="19">
                  <c:v>8</c:v>
                </c:pt>
                <c:pt idx="20">
                  <c:v>5</c:v>
                </c:pt>
                <c:pt idx="21">
                  <c:v>5</c:v>
                </c:pt>
                <c:pt idx="22">
                  <c:v>6</c:v>
                </c:pt>
                <c:pt idx="23">
                  <c:v>10</c:v>
                </c:pt>
              </c:numCache>
            </c:numRef>
          </c:val>
          <c:smooth val="0"/>
          <c:extLst>
            <c:ext xmlns:c16="http://schemas.microsoft.com/office/drawing/2014/chart" uri="{C3380CC4-5D6E-409C-BE32-E72D297353CC}">
              <c16:uniqueId val="{00000000-3F33-44B1-9E09-0BC168246A7B}"/>
            </c:ext>
          </c:extLst>
        </c:ser>
        <c:dLbls>
          <c:showLegendKey val="0"/>
          <c:showVal val="0"/>
          <c:showCatName val="0"/>
          <c:showSerName val="0"/>
          <c:showPercent val="0"/>
          <c:showBubbleSize val="0"/>
        </c:dLbls>
        <c:marker val="1"/>
        <c:smooth val="0"/>
        <c:axId val="950161263"/>
        <c:axId val="950161743"/>
      </c:lineChart>
      <c:catAx>
        <c:axId val="95016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50161743"/>
        <c:crosses val="autoZero"/>
        <c:auto val="1"/>
        <c:lblAlgn val="ctr"/>
        <c:lblOffset val="100"/>
        <c:noMultiLvlLbl val="0"/>
      </c:catAx>
      <c:valAx>
        <c:axId val="95016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5016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 Coding Challenge.xlsx]Pivot Tables!PivotTable3</c:name>
    <c:fmtId val="7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612539503990572"/>
          <c:y val="0.18608968446007065"/>
          <c:w val="0.59685200064277677"/>
          <c:h val="0.43103618838816626"/>
        </c:manualLayout>
      </c:layout>
      <c:bar3DChart>
        <c:barDir val="col"/>
        <c:grouping val="clustered"/>
        <c:varyColors val="0"/>
        <c:ser>
          <c:idx val="0"/>
          <c:order val="0"/>
          <c:tx>
            <c:strRef>
              <c:f>'Pivot Tables'!$H$3:$H$4</c:f>
              <c:strCache>
                <c:ptCount val="1"/>
                <c:pt idx="0">
                  <c:v>Critical</c:v>
                </c:pt>
              </c:strCache>
            </c:strRef>
          </c:tx>
          <c:spPr>
            <a:solidFill>
              <a:schemeClr val="accent1"/>
            </a:solidFill>
            <a:ln>
              <a:noFill/>
            </a:ln>
            <a:effectLst/>
            <a:sp3d/>
          </c:spPr>
          <c:invertIfNegative val="0"/>
          <c:cat>
            <c:strRef>
              <c:f>'Pivot Tables'!$G$5:$G$12</c:f>
              <c:strCache>
                <c:ptCount val="7"/>
                <c:pt idx="0">
                  <c:v>Access</c:v>
                </c:pt>
                <c:pt idx="1">
                  <c:v>Billing</c:v>
                </c:pt>
                <c:pt idx="2">
                  <c:v>Hardware</c:v>
                </c:pt>
                <c:pt idx="3">
                  <c:v>Network</c:v>
                </c:pt>
                <c:pt idx="4">
                  <c:v>Other</c:v>
                </c:pt>
                <c:pt idx="5">
                  <c:v>Security</c:v>
                </c:pt>
                <c:pt idx="6">
                  <c:v>Software</c:v>
                </c:pt>
              </c:strCache>
            </c:strRef>
          </c:cat>
          <c:val>
            <c:numRef>
              <c:f>'Pivot Tables'!$H$5:$H$12</c:f>
              <c:numCache>
                <c:formatCode>0.00</c:formatCode>
                <c:ptCount val="7"/>
                <c:pt idx="1">
                  <c:v>2.009704444441013</c:v>
                </c:pt>
                <c:pt idx="2">
                  <c:v>3.2174963888246566</c:v>
                </c:pt>
                <c:pt idx="6">
                  <c:v>3.6050999999279156</c:v>
                </c:pt>
              </c:numCache>
            </c:numRef>
          </c:val>
          <c:extLst>
            <c:ext xmlns:c16="http://schemas.microsoft.com/office/drawing/2014/chart" uri="{C3380CC4-5D6E-409C-BE32-E72D297353CC}">
              <c16:uniqueId val="{00000000-0EE0-4DC6-A618-FDA316E0BB0E}"/>
            </c:ext>
          </c:extLst>
        </c:ser>
        <c:ser>
          <c:idx val="1"/>
          <c:order val="1"/>
          <c:tx>
            <c:strRef>
              <c:f>'Pivot Tables'!$I$3:$I$4</c:f>
              <c:strCache>
                <c:ptCount val="1"/>
                <c:pt idx="0">
                  <c:v>High</c:v>
                </c:pt>
              </c:strCache>
            </c:strRef>
          </c:tx>
          <c:spPr>
            <a:solidFill>
              <a:schemeClr val="accent2"/>
            </a:solidFill>
            <a:ln>
              <a:noFill/>
            </a:ln>
            <a:effectLst/>
            <a:sp3d/>
          </c:spPr>
          <c:invertIfNegative val="0"/>
          <c:cat>
            <c:strRef>
              <c:f>'Pivot Tables'!$G$5:$G$12</c:f>
              <c:strCache>
                <c:ptCount val="7"/>
                <c:pt idx="0">
                  <c:v>Access</c:v>
                </c:pt>
                <c:pt idx="1">
                  <c:v>Billing</c:v>
                </c:pt>
                <c:pt idx="2">
                  <c:v>Hardware</c:v>
                </c:pt>
                <c:pt idx="3">
                  <c:v>Network</c:v>
                </c:pt>
                <c:pt idx="4">
                  <c:v>Other</c:v>
                </c:pt>
                <c:pt idx="5">
                  <c:v>Security</c:v>
                </c:pt>
                <c:pt idx="6">
                  <c:v>Software</c:v>
                </c:pt>
              </c:strCache>
            </c:strRef>
          </c:cat>
          <c:val>
            <c:numRef>
              <c:f>'Pivot Tables'!$I$5:$I$12</c:f>
              <c:numCache>
                <c:formatCode>0.00</c:formatCode>
                <c:ptCount val="7"/>
                <c:pt idx="0">
                  <c:v>33.342099722125567</c:v>
                </c:pt>
                <c:pt idx="1">
                  <c:v>4.2905480556073599</c:v>
                </c:pt>
                <c:pt idx="2">
                  <c:v>19.151982777693775</c:v>
                </c:pt>
                <c:pt idx="3">
                  <c:v>41.812318889074959</c:v>
                </c:pt>
                <c:pt idx="4">
                  <c:v>21.162100555608049</c:v>
                </c:pt>
                <c:pt idx="5">
                  <c:v>6.9611850001383573</c:v>
                </c:pt>
                <c:pt idx="6">
                  <c:v>40.238526111119427</c:v>
                </c:pt>
              </c:numCache>
            </c:numRef>
          </c:val>
          <c:extLst>
            <c:ext xmlns:c16="http://schemas.microsoft.com/office/drawing/2014/chart" uri="{C3380CC4-5D6E-409C-BE32-E72D297353CC}">
              <c16:uniqueId val="{0000000C-0EE0-4DC6-A618-FDA316E0BB0E}"/>
            </c:ext>
          </c:extLst>
        </c:ser>
        <c:ser>
          <c:idx val="2"/>
          <c:order val="2"/>
          <c:tx>
            <c:strRef>
              <c:f>'Pivot Tables'!$J$3:$J$4</c:f>
              <c:strCache>
                <c:ptCount val="1"/>
                <c:pt idx="0">
                  <c:v>Low</c:v>
                </c:pt>
              </c:strCache>
            </c:strRef>
          </c:tx>
          <c:spPr>
            <a:solidFill>
              <a:schemeClr val="accent3"/>
            </a:solidFill>
            <a:ln>
              <a:noFill/>
            </a:ln>
            <a:effectLst/>
            <a:sp3d/>
          </c:spPr>
          <c:invertIfNegative val="0"/>
          <c:cat>
            <c:strRef>
              <c:f>'Pivot Tables'!$G$5:$G$12</c:f>
              <c:strCache>
                <c:ptCount val="7"/>
                <c:pt idx="0">
                  <c:v>Access</c:v>
                </c:pt>
                <c:pt idx="1">
                  <c:v>Billing</c:v>
                </c:pt>
                <c:pt idx="2">
                  <c:v>Hardware</c:v>
                </c:pt>
                <c:pt idx="3">
                  <c:v>Network</c:v>
                </c:pt>
                <c:pt idx="4">
                  <c:v>Other</c:v>
                </c:pt>
                <c:pt idx="5">
                  <c:v>Security</c:v>
                </c:pt>
                <c:pt idx="6">
                  <c:v>Software</c:v>
                </c:pt>
              </c:strCache>
            </c:strRef>
          </c:cat>
          <c:val>
            <c:numRef>
              <c:f>'Pivot Tables'!$J$5:$J$12</c:f>
              <c:numCache>
                <c:formatCode>0.00</c:formatCode>
                <c:ptCount val="7"/>
                <c:pt idx="0">
                  <c:v>513.44566388911335</c:v>
                </c:pt>
                <c:pt idx="1">
                  <c:v>638.69866583333351</c:v>
                </c:pt>
                <c:pt idx="2">
                  <c:v>818.85249750001822</c:v>
                </c:pt>
                <c:pt idx="3">
                  <c:v>762.55591916665435</c:v>
                </c:pt>
                <c:pt idx="4">
                  <c:v>662.13526416668901</c:v>
                </c:pt>
                <c:pt idx="5">
                  <c:v>677.80767555569764</c:v>
                </c:pt>
                <c:pt idx="6">
                  <c:v>2024.6797330553527</c:v>
                </c:pt>
              </c:numCache>
            </c:numRef>
          </c:val>
          <c:extLst>
            <c:ext xmlns:c16="http://schemas.microsoft.com/office/drawing/2014/chart" uri="{C3380CC4-5D6E-409C-BE32-E72D297353CC}">
              <c16:uniqueId val="{0000000D-0EE0-4DC6-A618-FDA316E0BB0E}"/>
            </c:ext>
          </c:extLst>
        </c:ser>
        <c:ser>
          <c:idx val="3"/>
          <c:order val="3"/>
          <c:tx>
            <c:strRef>
              <c:f>'Pivot Tables'!$K$3:$K$4</c:f>
              <c:strCache>
                <c:ptCount val="1"/>
                <c:pt idx="0">
                  <c:v>Medium</c:v>
                </c:pt>
              </c:strCache>
            </c:strRef>
          </c:tx>
          <c:spPr>
            <a:solidFill>
              <a:schemeClr val="accent4"/>
            </a:solidFill>
            <a:ln>
              <a:noFill/>
            </a:ln>
            <a:effectLst/>
            <a:sp3d/>
          </c:spPr>
          <c:invertIfNegative val="0"/>
          <c:cat>
            <c:strRef>
              <c:f>'Pivot Tables'!$G$5:$G$12</c:f>
              <c:strCache>
                <c:ptCount val="7"/>
                <c:pt idx="0">
                  <c:v>Access</c:v>
                </c:pt>
                <c:pt idx="1">
                  <c:v>Billing</c:v>
                </c:pt>
                <c:pt idx="2">
                  <c:v>Hardware</c:v>
                </c:pt>
                <c:pt idx="3">
                  <c:v>Network</c:v>
                </c:pt>
                <c:pt idx="4">
                  <c:v>Other</c:v>
                </c:pt>
                <c:pt idx="5">
                  <c:v>Security</c:v>
                </c:pt>
                <c:pt idx="6">
                  <c:v>Software</c:v>
                </c:pt>
              </c:strCache>
            </c:strRef>
          </c:cat>
          <c:val>
            <c:numRef>
              <c:f>'Pivot Tables'!$K$5:$K$12</c:f>
              <c:numCache>
                <c:formatCode>0.00</c:formatCode>
                <c:ptCount val="7"/>
                <c:pt idx="0">
                  <c:v>119.01403888879577</c:v>
                </c:pt>
                <c:pt idx="1">
                  <c:v>106.3952636111062</c:v>
                </c:pt>
                <c:pt idx="2">
                  <c:v>182.05690583348041</c:v>
                </c:pt>
                <c:pt idx="3">
                  <c:v>348.26443944411585</c:v>
                </c:pt>
                <c:pt idx="4">
                  <c:v>244.47529499977827</c:v>
                </c:pt>
                <c:pt idx="6">
                  <c:v>720.31953527714359</c:v>
                </c:pt>
              </c:numCache>
            </c:numRef>
          </c:val>
          <c:extLst>
            <c:ext xmlns:c16="http://schemas.microsoft.com/office/drawing/2014/chart" uri="{C3380CC4-5D6E-409C-BE32-E72D297353CC}">
              <c16:uniqueId val="{00000010-0EE0-4DC6-A618-FDA316E0BB0E}"/>
            </c:ext>
          </c:extLst>
        </c:ser>
        <c:dLbls>
          <c:showLegendKey val="0"/>
          <c:showVal val="0"/>
          <c:showCatName val="0"/>
          <c:showSerName val="0"/>
          <c:showPercent val="0"/>
          <c:showBubbleSize val="0"/>
        </c:dLbls>
        <c:gapWidth val="150"/>
        <c:shape val="box"/>
        <c:axId val="1453307247"/>
        <c:axId val="1453308207"/>
        <c:axId val="0"/>
      </c:bar3DChart>
      <c:catAx>
        <c:axId val="145330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53308207"/>
        <c:crosses val="autoZero"/>
        <c:auto val="1"/>
        <c:lblAlgn val="ctr"/>
        <c:lblOffset val="100"/>
        <c:noMultiLvlLbl val="0"/>
      </c:catAx>
      <c:valAx>
        <c:axId val="1453308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5330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 Coding Challenge.xlsx]Pivot Tables!PivotTable4</c:name>
    <c:fmtId val="106"/>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delete val="1"/>
          <c:extLst>
            <c:ext xmlns:c15="http://schemas.microsoft.com/office/drawing/2012/chart" uri="{CE6537A1-D6FC-4f65-9D91-7224C49458BB}"/>
          </c:extLst>
        </c:dLbl>
      </c:pivotFmt>
      <c:pivotFmt>
        <c:idx val="13"/>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delete val="1"/>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Tables'!$E$15</c:f>
              <c:strCache>
                <c:ptCount val="1"/>
                <c:pt idx="0">
                  <c:v>Average of Resolution Time</c:v>
                </c:pt>
              </c:strCache>
            </c:strRef>
          </c:tx>
          <c:spPr>
            <a:solidFill>
              <a:schemeClr val="accent6">
                <a:lumMod val="75000"/>
              </a:schemeClr>
            </a:solidFill>
            <a:ln>
              <a:noFill/>
            </a:ln>
            <a:effectLst/>
          </c:spPr>
          <c:invertIfNegative val="0"/>
          <c:cat>
            <c:strRef>
              <c:f>'Pivot Tables'!$D$16:$D$26</c:f>
              <c:strCache>
                <c:ptCount val="10"/>
                <c:pt idx="0">
                  <c:v>Amanda White</c:v>
                </c:pt>
                <c:pt idx="1">
                  <c:v>Autumn Ryan</c:v>
                </c:pt>
                <c:pt idx="2">
                  <c:v>Sheila Ball</c:v>
                </c:pt>
                <c:pt idx="3">
                  <c:v>Marvin West</c:v>
                </c:pt>
                <c:pt idx="4">
                  <c:v>Cynthia Rich</c:v>
                </c:pt>
                <c:pt idx="5">
                  <c:v>Tanya Jones</c:v>
                </c:pt>
                <c:pt idx="6">
                  <c:v>Adam Stone</c:v>
                </c:pt>
                <c:pt idx="7">
                  <c:v>Janice Burns</c:v>
                </c:pt>
                <c:pt idx="8">
                  <c:v>Natasha Harris</c:v>
                </c:pt>
                <c:pt idx="9">
                  <c:v>Toni Wiley</c:v>
                </c:pt>
              </c:strCache>
            </c:strRef>
          </c:cat>
          <c:val>
            <c:numRef>
              <c:f>'Pivot Tables'!$E$16:$E$26</c:f>
              <c:numCache>
                <c:formatCode>0.00</c:formatCode>
                <c:ptCount val="10"/>
                <c:pt idx="0">
                  <c:v>82.225628944439819</c:v>
                </c:pt>
                <c:pt idx="1">
                  <c:v>72.610398218949896</c:v>
                </c:pt>
                <c:pt idx="2">
                  <c:v>66.843557968742971</c:v>
                </c:pt>
                <c:pt idx="3">
                  <c:v>64.433295659713622</c:v>
                </c:pt>
                <c:pt idx="4">
                  <c:v>50.214652516334731</c:v>
                </c:pt>
                <c:pt idx="5">
                  <c:v>47.042569012355266</c:v>
                </c:pt>
                <c:pt idx="6">
                  <c:v>46.389953906244045</c:v>
                </c:pt>
                <c:pt idx="7">
                  <c:v>35.375343632458957</c:v>
                </c:pt>
                <c:pt idx="8">
                  <c:v>33.453871150792111</c:v>
                </c:pt>
                <c:pt idx="9">
                  <c:v>27.262369900771382</c:v>
                </c:pt>
              </c:numCache>
            </c:numRef>
          </c:val>
          <c:extLst>
            <c:ext xmlns:c16="http://schemas.microsoft.com/office/drawing/2014/chart" uri="{C3380CC4-5D6E-409C-BE32-E72D297353CC}">
              <c16:uniqueId val="{00000000-2286-438A-832A-2491AFBD1C1D}"/>
            </c:ext>
          </c:extLst>
        </c:ser>
        <c:dLbls>
          <c:showLegendKey val="0"/>
          <c:showVal val="0"/>
          <c:showCatName val="0"/>
          <c:showSerName val="0"/>
          <c:showPercent val="0"/>
          <c:showBubbleSize val="0"/>
        </c:dLbls>
        <c:gapWidth val="150"/>
        <c:axId val="1591305183"/>
        <c:axId val="1591295583"/>
      </c:barChart>
      <c:lineChart>
        <c:grouping val="standard"/>
        <c:varyColors val="0"/>
        <c:ser>
          <c:idx val="1"/>
          <c:order val="1"/>
          <c:tx>
            <c:strRef>
              <c:f>'Pivot Tables'!$F$15</c:f>
              <c:strCache>
                <c:ptCount val="1"/>
                <c:pt idx="0">
                  <c:v>Count of ticket_id</c:v>
                </c:pt>
              </c:strCache>
            </c:strRef>
          </c:tx>
          <c:spPr>
            <a:ln w="28575" cap="rnd">
              <a:solidFill>
                <a:srgbClr val="FF0000"/>
              </a:solidFill>
              <a:round/>
            </a:ln>
            <a:effectLst/>
          </c:spPr>
          <c:marker>
            <c:symbol val="none"/>
          </c:marker>
          <c:cat>
            <c:strRef>
              <c:f>'Pivot Tables'!$D$16:$D$26</c:f>
              <c:strCache>
                <c:ptCount val="10"/>
                <c:pt idx="0">
                  <c:v>Amanda White</c:v>
                </c:pt>
                <c:pt idx="1">
                  <c:v>Autumn Ryan</c:v>
                </c:pt>
                <c:pt idx="2">
                  <c:v>Sheila Ball</c:v>
                </c:pt>
                <c:pt idx="3">
                  <c:v>Marvin West</c:v>
                </c:pt>
                <c:pt idx="4">
                  <c:v>Cynthia Rich</c:v>
                </c:pt>
                <c:pt idx="5">
                  <c:v>Tanya Jones</c:v>
                </c:pt>
                <c:pt idx="6">
                  <c:v>Adam Stone</c:v>
                </c:pt>
                <c:pt idx="7">
                  <c:v>Janice Burns</c:v>
                </c:pt>
                <c:pt idx="8">
                  <c:v>Natasha Harris</c:v>
                </c:pt>
                <c:pt idx="9">
                  <c:v>Toni Wiley</c:v>
                </c:pt>
              </c:strCache>
            </c:strRef>
          </c:cat>
          <c:val>
            <c:numRef>
              <c:f>'Pivot Tables'!$F$16:$F$26</c:f>
              <c:numCache>
                <c:formatCode>General</c:formatCode>
                <c:ptCount val="10"/>
                <c:pt idx="0">
                  <c:v>15</c:v>
                </c:pt>
                <c:pt idx="1">
                  <c:v>17</c:v>
                </c:pt>
                <c:pt idx="2">
                  <c:v>16</c:v>
                </c:pt>
                <c:pt idx="3">
                  <c:v>8</c:v>
                </c:pt>
                <c:pt idx="4">
                  <c:v>17</c:v>
                </c:pt>
                <c:pt idx="5">
                  <c:v>27</c:v>
                </c:pt>
                <c:pt idx="6">
                  <c:v>16</c:v>
                </c:pt>
                <c:pt idx="7">
                  <c:v>13</c:v>
                </c:pt>
                <c:pt idx="8">
                  <c:v>7</c:v>
                </c:pt>
                <c:pt idx="9">
                  <c:v>14</c:v>
                </c:pt>
              </c:numCache>
            </c:numRef>
          </c:val>
          <c:smooth val="0"/>
          <c:extLst>
            <c:ext xmlns:c16="http://schemas.microsoft.com/office/drawing/2014/chart" uri="{C3380CC4-5D6E-409C-BE32-E72D297353CC}">
              <c16:uniqueId val="{00000001-2286-438A-832A-2491AFBD1C1D}"/>
            </c:ext>
          </c:extLst>
        </c:ser>
        <c:dLbls>
          <c:showLegendKey val="0"/>
          <c:showVal val="0"/>
          <c:showCatName val="0"/>
          <c:showSerName val="0"/>
          <c:showPercent val="0"/>
          <c:showBubbleSize val="0"/>
        </c:dLbls>
        <c:marker val="1"/>
        <c:smooth val="0"/>
        <c:axId val="1591316223"/>
        <c:axId val="1591296543"/>
      </c:lineChart>
      <c:catAx>
        <c:axId val="159130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591295583"/>
        <c:crosses val="autoZero"/>
        <c:auto val="1"/>
        <c:lblAlgn val="ctr"/>
        <c:lblOffset val="100"/>
        <c:noMultiLvlLbl val="0"/>
      </c:catAx>
      <c:valAx>
        <c:axId val="1591295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591305183"/>
        <c:crosses val="autoZero"/>
        <c:crossBetween val="between"/>
      </c:valAx>
      <c:valAx>
        <c:axId val="1591296543"/>
        <c:scaling>
          <c:orientation val="minMax"/>
        </c:scaling>
        <c:delete val="0"/>
        <c:axPos val="r"/>
        <c:numFmt formatCode="General" sourceLinked="1"/>
        <c:majorTickMark val="none"/>
        <c:minorTickMark val="none"/>
        <c:tickLblPos val="nextTo"/>
        <c:spPr>
          <a:noFill/>
          <a:ln>
            <a:noFill/>
          </a:ln>
          <a:effectLst/>
        </c:spPr>
        <c:txPr>
          <a:bodyPr rot="-60000000" vert="horz"/>
          <a:lstStyle/>
          <a:p>
            <a:pPr>
              <a:defRPr/>
            </a:pPr>
            <a:endParaRPr lang="en-US"/>
          </a:p>
        </c:txPr>
        <c:crossAx val="1591316223"/>
        <c:crosses val="max"/>
        <c:crossBetween val="between"/>
      </c:valAx>
      <c:catAx>
        <c:axId val="1591316223"/>
        <c:scaling>
          <c:orientation val="minMax"/>
        </c:scaling>
        <c:delete val="1"/>
        <c:axPos val="b"/>
        <c:numFmt formatCode="General" sourceLinked="1"/>
        <c:majorTickMark val="none"/>
        <c:minorTickMark val="none"/>
        <c:tickLblPos val="nextTo"/>
        <c:crossAx val="1591296543"/>
        <c:crosses val="autoZero"/>
        <c:auto val="1"/>
        <c:lblAlgn val="ctr"/>
        <c:lblOffset val="100"/>
        <c:noMultiLvlLbl val="0"/>
      </c:catAx>
    </c:plotArea>
    <c:legend>
      <c:legendPos val="r"/>
      <c:overlay val="0"/>
      <c:spPr>
        <a:noFill/>
        <a:ln>
          <a:noFill/>
        </a:ln>
        <a:effectLst/>
      </c:spPr>
      <c:txPr>
        <a:bodyPr rot="0" vert="horz"/>
        <a:lstStyle/>
        <a:p>
          <a:pPr>
            <a:defRPr/>
          </a:pPr>
          <a:endParaRPr lang="en-US"/>
        </a:p>
      </c:txPr>
    </c:legend>
    <c:plotVisOnly val="1"/>
    <c:dispBlanksAs val="gap"/>
    <c:showDLblsOverMax val="0"/>
    <c:extLst/>
  </c:chart>
  <c:spPr>
    <a:noFill/>
    <a:ln w="19050"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 Coding Challenge.xlsx]Pivot Tables!PivotTable2</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2"/>
          </a:solidFill>
          <a:ln>
            <a:noFill/>
          </a:ln>
          <a:effectLst/>
        </c:spPr>
      </c:pivotFmt>
      <c:pivotFmt>
        <c:idx val="22"/>
        <c:spPr>
          <a:solidFill>
            <a:schemeClr val="accent3"/>
          </a:solidFill>
          <a:ln>
            <a:noFill/>
          </a:ln>
          <a:effectLst/>
        </c:spPr>
      </c:pivotFmt>
      <c:pivotFmt>
        <c:idx val="23"/>
        <c:spPr>
          <a:solidFill>
            <a:schemeClr val="accent4"/>
          </a:solidFill>
          <a:ln>
            <a:noFill/>
          </a:ln>
          <a:effectLst/>
        </c:spPr>
      </c:pivotFmt>
      <c:pivotFmt>
        <c:idx val="24"/>
        <c:spPr>
          <a:solidFill>
            <a:schemeClr val="accent5"/>
          </a:solidFill>
          <a:ln>
            <a:noFill/>
          </a:ln>
          <a:effectLst/>
        </c:spPr>
      </c:pivotFmt>
      <c:pivotFmt>
        <c:idx val="25"/>
        <c:spPr>
          <a:solidFill>
            <a:schemeClr val="accent6"/>
          </a:solidFill>
          <a:ln>
            <a:noFill/>
          </a:ln>
          <a:effectLst/>
        </c:spPr>
      </c:pivotFmt>
      <c:pivotFmt>
        <c:idx val="26"/>
        <c:spPr>
          <a:solidFill>
            <a:schemeClr val="accent1">
              <a:lumMod val="60000"/>
            </a:schemeClr>
          </a:solidFill>
          <a:ln>
            <a:noFill/>
          </a:ln>
          <a:effectLst/>
        </c:spPr>
      </c:pivotFmt>
      <c:pivotFmt>
        <c:idx val="27"/>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2"/>
          </a:solidFill>
          <a:ln>
            <a:noFill/>
          </a:ln>
          <a:effectLst/>
        </c:spPr>
      </c:pivotFmt>
      <c:pivotFmt>
        <c:idx val="30"/>
        <c:spPr>
          <a:solidFill>
            <a:schemeClr val="accent3"/>
          </a:solidFill>
          <a:ln>
            <a:noFill/>
          </a:ln>
          <a:effectLst/>
        </c:spPr>
      </c:pivotFmt>
      <c:pivotFmt>
        <c:idx val="31"/>
        <c:spPr>
          <a:solidFill>
            <a:schemeClr val="accent4"/>
          </a:solidFill>
          <a:ln>
            <a:noFill/>
          </a:ln>
          <a:effectLst/>
        </c:spPr>
      </c:pivotFmt>
      <c:pivotFmt>
        <c:idx val="32"/>
        <c:spPr>
          <a:solidFill>
            <a:schemeClr val="accent5"/>
          </a:solidFill>
          <a:ln>
            <a:noFill/>
          </a:ln>
          <a:effectLst/>
        </c:spPr>
      </c:pivotFmt>
      <c:pivotFmt>
        <c:idx val="33"/>
        <c:spPr>
          <a:solidFill>
            <a:schemeClr val="accent6"/>
          </a:solidFill>
          <a:ln>
            <a:noFill/>
          </a:ln>
          <a:effectLst/>
        </c:spPr>
      </c:pivotFmt>
      <c:pivotFmt>
        <c:idx val="34"/>
        <c:spPr>
          <a:solidFill>
            <a:schemeClr val="accent1">
              <a:lumMod val="60000"/>
            </a:schemeClr>
          </a:solidFill>
          <a:ln>
            <a:noFill/>
          </a:ln>
          <a:effectLst/>
        </c:spPr>
      </c:pivotFmt>
      <c:pivotFmt>
        <c:idx val="35"/>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pivotFmt>
      <c:pivotFmt>
        <c:idx val="37"/>
        <c:spPr>
          <a:solidFill>
            <a:schemeClr val="accent2"/>
          </a:solidFill>
          <a:ln>
            <a:noFill/>
          </a:ln>
          <a:effectLst/>
        </c:spPr>
      </c:pivotFmt>
      <c:pivotFmt>
        <c:idx val="38"/>
        <c:spPr>
          <a:solidFill>
            <a:schemeClr val="accent3"/>
          </a:solidFill>
          <a:ln>
            <a:noFill/>
          </a:ln>
          <a:effectLst/>
        </c:spPr>
      </c:pivotFmt>
      <c:pivotFmt>
        <c:idx val="39"/>
        <c:spPr>
          <a:solidFill>
            <a:schemeClr val="accent4"/>
          </a:solidFill>
          <a:ln>
            <a:noFill/>
          </a:ln>
          <a:effectLst/>
        </c:spPr>
      </c:pivotFmt>
      <c:pivotFmt>
        <c:idx val="40"/>
        <c:spPr>
          <a:solidFill>
            <a:schemeClr val="accent5"/>
          </a:solidFill>
          <a:ln>
            <a:noFill/>
          </a:ln>
          <a:effectLst/>
        </c:spPr>
      </c:pivotFmt>
      <c:pivotFmt>
        <c:idx val="41"/>
        <c:spPr>
          <a:solidFill>
            <a:schemeClr val="accent6"/>
          </a:solidFill>
          <a:ln>
            <a:noFill/>
          </a:ln>
          <a:effectLst/>
        </c:spPr>
      </c:pivotFmt>
      <c:pivotFmt>
        <c:idx val="42"/>
        <c:spPr>
          <a:solidFill>
            <a:schemeClr val="accent1">
              <a:lumMod val="60000"/>
            </a:schemeClr>
          </a:solidFill>
          <a:ln>
            <a:noFill/>
          </a:ln>
          <a:effectLst/>
        </c:spPr>
      </c:pivotFmt>
    </c:pivotFmts>
    <c:plotArea>
      <c:layout/>
      <c:doughnutChart>
        <c:varyColors val="1"/>
        <c:ser>
          <c:idx val="0"/>
          <c:order val="0"/>
          <c:tx>
            <c:strRef>
              <c:f>'Pivot Tables'!$E$3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8A3-4E72-B011-8F1A7CCBE9B6}"/>
              </c:ext>
            </c:extLst>
          </c:dPt>
          <c:dPt>
            <c:idx val="1"/>
            <c:bubble3D val="0"/>
            <c:spPr>
              <a:solidFill>
                <a:schemeClr val="accent2"/>
              </a:solidFill>
              <a:ln>
                <a:noFill/>
              </a:ln>
              <a:effectLst/>
            </c:spPr>
            <c:extLst>
              <c:ext xmlns:c16="http://schemas.microsoft.com/office/drawing/2014/chart" uri="{C3380CC4-5D6E-409C-BE32-E72D297353CC}">
                <c16:uniqueId val="{00000003-B8A3-4E72-B011-8F1A7CCBE9B6}"/>
              </c:ext>
            </c:extLst>
          </c:dPt>
          <c:dPt>
            <c:idx val="2"/>
            <c:bubble3D val="0"/>
            <c:spPr>
              <a:solidFill>
                <a:schemeClr val="accent3"/>
              </a:solidFill>
              <a:ln>
                <a:noFill/>
              </a:ln>
              <a:effectLst/>
            </c:spPr>
            <c:extLst>
              <c:ext xmlns:c16="http://schemas.microsoft.com/office/drawing/2014/chart" uri="{C3380CC4-5D6E-409C-BE32-E72D297353CC}">
                <c16:uniqueId val="{00000005-B8A3-4E72-B011-8F1A7CCBE9B6}"/>
              </c:ext>
            </c:extLst>
          </c:dPt>
          <c:dPt>
            <c:idx val="3"/>
            <c:bubble3D val="0"/>
            <c:spPr>
              <a:solidFill>
                <a:schemeClr val="accent4"/>
              </a:solidFill>
              <a:ln>
                <a:noFill/>
              </a:ln>
              <a:effectLst/>
            </c:spPr>
            <c:extLst>
              <c:ext xmlns:c16="http://schemas.microsoft.com/office/drawing/2014/chart" uri="{C3380CC4-5D6E-409C-BE32-E72D297353CC}">
                <c16:uniqueId val="{00000007-B8A3-4E72-B011-8F1A7CCBE9B6}"/>
              </c:ext>
            </c:extLst>
          </c:dPt>
          <c:dPt>
            <c:idx val="4"/>
            <c:bubble3D val="0"/>
            <c:spPr>
              <a:solidFill>
                <a:schemeClr val="accent5"/>
              </a:solidFill>
              <a:ln>
                <a:noFill/>
              </a:ln>
              <a:effectLst/>
            </c:spPr>
            <c:extLst>
              <c:ext xmlns:c16="http://schemas.microsoft.com/office/drawing/2014/chart" uri="{C3380CC4-5D6E-409C-BE32-E72D297353CC}">
                <c16:uniqueId val="{00000009-B8A3-4E72-B011-8F1A7CCBE9B6}"/>
              </c:ext>
            </c:extLst>
          </c:dPt>
          <c:dPt>
            <c:idx val="5"/>
            <c:bubble3D val="0"/>
            <c:spPr>
              <a:solidFill>
                <a:schemeClr val="accent6"/>
              </a:solidFill>
              <a:ln>
                <a:noFill/>
              </a:ln>
              <a:effectLst/>
            </c:spPr>
            <c:extLst>
              <c:ext xmlns:c16="http://schemas.microsoft.com/office/drawing/2014/chart" uri="{C3380CC4-5D6E-409C-BE32-E72D297353CC}">
                <c16:uniqueId val="{0000000B-B8A3-4E72-B011-8F1A7CCBE9B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8A3-4E72-B011-8F1A7CCBE9B6}"/>
              </c:ext>
            </c:extLst>
          </c:dPt>
          <c:cat>
            <c:strRef>
              <c:f>'Pivot Tables'!$D$4:$D$11</c:f>
              <c:strCache>
                <c:ptCount val="7"/>
                <c:pt idx="0">
                  <c:v>Sun</c:v>
                </c:pt>
                <c:pt idx="1">
                  <c:v>Mon</c:v>
                </c:pt>
                <c:pt idx="2">
                  <c:v>Tue</c:v>
                </c:pt>
                <c:pt idx="3">
                  <c:v>Wed</c:v>
                </c:pt>
                <c:pt idx="4">
                  <c:v>Thu</c:v>
                </c:pt>
                <c:pt idx="5">
                  <c:v>Fri</c:v>
                </c:pt>
                <c:pt idx="6">
                  <c:v>Sat</c:v>
                </c:pt>
              </c:strCache>
            </c:strRef>
          </c:cat>
          <c:val>
            <c:numRef>
              <c:f>'Pivot Tables'!$E$4:$E$11</c:f>
              <c:numCache>
                <c:formatCode>General</c:formatCode>
                <c:ptCount val="7"/>
                <c:pt idx="0">
                  <c:v>26</c:v>
                </c:pt>
                <c:pt idx="1">
                  <c:v>19</c:v>
                </c:pt>
                <c:pt idx="2">
                  <c:v>22</c:v>
                </c:pt>
                <c:pt idx="3">
                  <c:v>24</c:v>
                </c:pt>
                <c:pt idx="4">
                  <c:v>23</c:v>
                </c:pt>
                <c:pt idx="5">
                  <c:v>16</c:v>
                </c:pt>
                <c:pt idx="6">
                  <c:v>20</c:v>
                </c:pt>
              </c:numCache>
            </c:numRef>
          </c:val>
          <c:extLst>
            <c:ext xmlns:c16="http://schemas.microsoft.com/office/drawing/2014/chart" uri="{C3380CC4-5D6E-409C-BE32-E72D297353CC}">
              <c16:uniqueId val="{0000000E-B8A3-4E72-B011-8F1A7CCBE9B6}"/>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3915989159891604"/>
          <c:y val="0.32947547501103092"/>
          <c:w val="0.22357723577235772"/>
          <c:h val="0.57137561011112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205740</xdr:colOff>
      <xdr:row>0</xdr:row>
      <xdr:rowOff>53340</xdr:rowOff>
    </xdr:from>
    <xdr:to>
      <xdr:col>16</xdr:col>
      <xdr:colOff>411480</xdr:colOff>
      <xdr:row>3</xdr:row>
      <xdr:rowOff>60960</xdr:rowOff>
    </xdr:to>
    <xdr:sp macro="" textlink="">
      <xdr:nvSpPr>
        <xdr:cNvPr id="8" name="Rectangle 7">
          <a:extLst>
            <a:ext uri="{FF2B5EF4-FFF2-40B4-BE49-F238E27FC236}">
              <a16:creationId xmlns:a16="http://schemas.microsoft.com/office/drawing/2014/main" id="{653349E1-9B4F-0DF0-0B63-EB2EB43BBAA5}"/>
            </a:ext>
          </a:extLst>
        </xdr:cNvPr>
        <xdr:cNvSpPr/>
      </xdr:nvSpPr>
      <xdr:spPr>
        <a:xfrm>
          <a:off x="205740" y="53340"/>
          <a:ext cx="9959340" cy="556260"/>
        </a:xfrm>
        <a:prstGeom prst="rect">
          <a:avLst/>
        </a:prstGeom>
        <a:solidFill>
          <a:schemeClr val="bg1"/>
        </a:solidFill>
        <a:ln w="28575">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IT Support Executive</a:t>
          </a:r>
          <a:r>
            <a:rPr lang="en-IN" sz="2800" b="1" baseline="0">
              <a:solidFill>
                <a:schemeClr val="tx1"/>
              </a:solidFill>
            </a:rPr>
            <a:t> Dashboard</a:t>
          </a:r>
          <a:endParaRPr lang="en-IN" sz="2800" b="1">
            <a:solidFill>
              <a:schemeClr val="tx1"/>
            </a:solidFill>
          </a:endParaRPr>
        </a:p>
      </xdr:txBody>
    </xdr:sp>
    <xdr:clientData/>
  </xdr:twoCellAnchor>
  <xdr:twoCellAnchor editAs="oneCell">
    <xdr:from>
      <xdr:col>0</xdr:col>
      <xdr:colOff>190500</xdr:colOff>
      <xdr:row>3</xdr:row>
      <xdr:rowOff>114301</xdr:rowOff>
    </xdr:from>
    <xdr:to>
      <xdr:col>2</xdr:col>
      <xdr:colOff>358140</xdr:colOff>
      <xdr:row>15</xdr:row>
      <xdr:rowOff>152401</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3E9B566B-DCAA-4C0A-841E-72A6365213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0500" y="662941"/>
              <a:ext cx="1386840" cy="2232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3</xdr:row>
      <xdr:rowOff>144780</xdr:rowOff>
    </xdr:from>
    <xdr:to>
      <xdr:col>10</xdr:col>
      <xdr:colOff>175260</xdr:colOff>
      <xdr:row>15</xdr:row>
      <xdr:rowOff>160020</xdr:rowOff>
    </xdr:to>
    <xdr:grpSp>
      <xdr:nvGrpSpPr>
        <xdr:cNvPr id="14" name="Group 13">
          <a:extLst>
            <a:ext uri="{FF2B5EF4-FFF2-40B4-BE49-F238E27FC236}">
              <a16:creationId xmlns:a16="http://schemas.microsoft.com/office/drawing/2014/main" id="{9DB76EFF-8116-93E2-3FD4-43DA414CD285}"/>
            </a:ext>
          </a:extLst>
        </xdr:cNvPr>
        <xdr:cNvGrpSpPr/>
      </xdr:nvGrpSpPr>
      <xdr:grpSpPr>
        <a:xfrm>
          <a:off x="1638300" y="693420"/>
          <a:ext cx="4632960" cy="2209800"/>
          <a:chOff x="1775460" y="655320"/>
          <a:chExt cx="4168140" cy="2316480"/>
        </a:xfrm>
      </xdr:grpSpPr>
      <xdr:sp macro="" textlink="">
        <xdr:nvSpPr>
          <xdr:cNvPr id="12" name="Rectangle: Rounded Corners 11">
            <a:extLst>
              <a:ext uri="{FF2B5EF4-FFF2-40B4-BE49-F238E27FC236}">
                <a16:creationId xmlns:a16="http://schemas.microsoft.com/office/drawing/2014/main" id="{6D8DCA11-0BC1-6D69-1F7A-812955274CD8}"/>
              </a:ext>
            </a:extLst>
          </xdr:cNvPr>
          <xdr:cNvSpPr/>
        </xdr:nvSpPr>
        <xdr:spPr>
          <a:xfrm>
            <a:off x="1775460" y="655320"/>
            <a:ext cx="4168140" cy="2316480"/>
          </a:xfrm>
          <a:prstGeom prst="roundRect">
            <a:avLst>
              <a:gd name="adj" fmla="val 3509"/>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aphicFrame macro="">
        <xdr:nvGraphicFramePr>
          <xdr:cNvPr id="13" name="Chart 12">
            <a:extLst>
              <a:ext uri="{FF2B5EF4-FFF2-40B4-BE49-F238E27FC236}">
                <a16:creationId xmlns:a16="http://schemas.microsoft.com/office/drawing/2014/main" id="{2F48ACD1-0FB9-4469-9DBC-A267964C3E60}"/>
              </a:ext>
            </a:extLst>
          </xdr:cNvPr>
          <xdr:cNvGraphicFramePr>
            <a:graphicFrameLocks/>
          </xdr:cNvGraphicFramePr>
        </xdr:nvGraphicFramePr>
        <xdr:xfrm>
          <a:off x="1813560" y="698833"/>
          <a:ext cx="4015740" cy="22250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10</xdr:col>
      <xdr:colOff>259080</xdr:colOff>
      <xdr:row>3</xdr:row>
      <xdr:rowOff>144780</xdr:rowOff>
    </xdr:from>
    <xdr:to>
      <xdr:col>16</xdr:col>
      <xdr:colOff>480060</xdr:colOff>
      <xdr:row>16</xdr:row>
      <xdr:rowOff>11430</xdr:rowOff>
    </xdr:to>
    <xdr:grpSp>
      <xdr:nvGrpSpPr>
        <xdr:cNvPr id="19" name="Group 18">
          <a:extLst>
            <a:ext uri="{FF2B5EF4-FFF2-40B4-BE49-F238E27FC236}">
              <a16:creationId xmlns:a16="http://schemas.microsoft.com/office/drawing/2014/main" id="{FCBE3911-0D74-19FC-600B-9067495EB95E}"/>
            </a:ext>
          </a:extLst>
        </xdr:cNvPr>
        <xdr:cNvGrpSpPr/>
      </xdr:nvGrpSpPr>
      <xdr:grpSpPr>
        <a:xfrm>
          <a:off x="6355080" y="693420"/>
          <a:ext cx="3878580" cy="2244090"/>
          <a:chOff x="6042660" y="647700"/>
          <a:chExt cx="4168140" cy="2244090"/>
        </a:xfrm>
      </xdr:grpSpPr>
      <xdr:sp macro="" textlink="">
        <xdr:nvSpPr>
          <xdr:cNvPr id="16" name="Rectangle: Rounded Corners 15">
            <a:extLst>
              <a:ext uri="{FF2B5EF4-FFF2-40B4-BE49-F238E27FC236}">
                <a16:creationId xmlns:a16="http://schemas.microsoft.com/office/drawing/2014/main" id="{3A2F326E-E209-E1A5-F40C-8A08C274113E}"/>
              </a:ext>
            </a:extLst>
          </xdr:cNvPr>
          <xdr:cNvSpPr/>
        </xdr:nvSpPr>
        <xdr:spPr>
          <a:xfrm>
            <a:off x="6042660" y="655320"/>
            <a:ext cx="4168140" cy="2209800"/>
          </a:xfrm>
          <a:prstGeom prst="roundRect">
            <a:avLst>
              <a:gd name="adj" fmla="val 3509"/>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FF779C7D-C1BC-44C0-BEEA-5DF45F71D92B}"/>
              </a:ext>
            </a:extLst>
          </xdr:cNvPr>
          <xdr:cNvGraphicFramePr>
            <a:graphicFrameLocks/>
          </xdr:cNvGraphicFramePr>
        </xdr:nvGraphicFramePr>
        <xdr:xfrm>
          <a:off x="6210300" y="647700"/>
          <a:ext cx="3733800" cy="224409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404289</xdr:colOff>
      <xdr:row>16</xdr:row>
      <xdr:rowOff>60960</xdr:rowOff>
    </xdr:from>
    <xdr:to>
      <xdr:col>10</xdr:col>
      <xdr:colOff>236220</xdr:colOff>
      <xdr:row>28</xdr:row>
      <xdr:rowOff>76200</xdr:rowOff>
    </xdr:to>
    <xdr:grpSp>
      <xdr:nvGrpSpPr>
        <xdr:cNvPr id="22" name="Group 21">
          <a:extLst>
            <a:ext uri="{FF2B5EF4-FFF2-40B4-BE49-F238E27FC236}">
              <a16:creationId xmlns:a16="http://schemas.microsoft.com/office/drawing/2014/main" id="{3C28F789-9CF7-3AA3-CB9F-FCCB3FF8506B}"/>
            </a:ext>
          </a:extLst>
        </xdr:cNvPr>
        <xdr:cNvGrpSpPr/>
      </xdr:nvGrpSpPr>
      <xdr:grpSpPr>
        <a:xfrm>
          <a:off x="1623489" y="2987040"/>
          <a:ext cx="4708731" cy="2209800"/>
          <a:chOff x="1753819" y="2933700"/>
          <a:chExt cx="4457700" cy="2209800"/>
        </a:xfrm>
      </xdr:grpSpPr>
      <xdr:sp macro="" textlink="">
        <xdr:nvSpPr>
          <xdr:cNvPr id="20" name="Rectangle: Rounded Corners 19">
            <a:extLst>
              <a:ext uri="{FF2B5EF4-FFF2-40B4-BE49-F238E27FC236}">
                <a16:creationId xmlns:a16="http://schemas.microsoft.com/office/drawing/2014/main" id="{3DAC24FA-736B-4BEC-9257-5B0D3FDA5848}"/>
              </a:ext>
            </a:extLst>
          </xdr:cNvPr>
          <xdr:cNvSpPr/>
        </xdr:nvSpPr>
        <xdr:spPr>
          <a:xfrm>
            <a:off x="1767840" y="2933700"/>
            <a:ext cx="4411980" cy="2209800"/>
          </a:xfrm>
          <a:prstGeom prst="roundRect">
            <a:avLst>
              <a:gd name="adj" fmla="val 3509"/>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1" name="Chart 20">
            <a:extLst>
              <a:ext uri="{FF2B5EF4-FFF2-40B4-BE49-F238E27FC236}">
                <a16:creationId xmlns:a16="http://schemas.microsoft.com/office/drawing/2014/main" id="{9869113A-B37F-41B7-85F9-7EE27C1FE88D}"/>
              </a:ext>
            </a:extLst>
          </xdr:cNvPr>
          <xdr:cNvGraphicFramePr>
            <a:graphicFrameLocks/>
          </xdr:cNvGraphicFramePr>
        </xdr:nvGraphicFramePr>
        <xdr:xfrm>
          <a:off x="1753819" y="2933700"/>
          <a:ext cx="4457700" cy="21031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266699</xdr:colOff>
      <xdr:row>16</xdr:row>
      <xdr:rowOff>53340</xdr:rowOff>
    </xdr:from>
    <xdr:to>
      <xdr:col>16</xdr:col>
      <xdr:colOff>480060</xdr:colOff>
      <xdr:row>28</xdr:row>
      <xdr:rowOff>68580</xdr:rowOff>
    </xdr:to>
    <xdr:grpSp>
      <xdr:nvGrpSpPr>
        <xdr:cNvPr id="27" name="Group 26">
          <a:extLst>
            <a:ext uri="{FF2B5EF4-FFF2-40B4-BE49-F238E27FC236}">
              <a16:creationId xmlns:a16="http://schemas.microsoft.com/office/drawing/2014/main" id="{3D9C64D0-DA89-2E57-2BEC-02DE462845FD}"/>
            </a:ext>
          </a:extLst>
        </xdr:cNvPr>
        <xdr:cNvGrpSpPr/>
      </xdr:nvGrpSpPr>
      <xdr:grpSpPr>
        <a:xfrm>
          <a:off x="6362699" y="2979420"/>
          <a:ext cx="3870961" cy="2209800"/>
          <a:chOff x="7193279" y="2941320"/>
          <a:chExt cx="3730795" cy="2209800"/>
        </a:xfrm>
      </xdr:grpSpPr>
      <xdr:sp macro="" textlink="">
        <xdr:nvSpPr>
          <xdr:cNvPr id="24" name="Rectangle: Rounded Corners 23">
            <a:extLst>
              <a:ext uri="{FF2B5EF4-FFF2-40B4-BE49-F238E27FC236}">
                <a16:creationId xmlns:a16="http://schemas.microsoft.com/office/drawing/2014/main" id="{3E80A2A2-F8D5-32F5-747B-35E844E320FD}"/>
              </a:ext>
            </a:extLst>
          </xdr:cNvPr>
          <xdr:cNvSpPr/>
        </xdr:nvSpPr>
        <xdr:spPr>
          <a:xfrm>
            <a:off x="7193279" y="2941320"/>
            <a:ext cx="3730795" cy="2209800"/>
          </a:xfrm>
          <a:prstGeom prst="roundRect">
            <a:avLst>
              <a:gd name="adj" fmla="val 3509"/>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01CD3C1E-2195-4397-A100-F7498D18F857}"/>
              </a:ext>
            </a:extLst>
          </xdr:cNvPr>
          <xdr:cNvGraphicFramePr>
            <a:graphicFrameLocks/>
          </xdr:cNvGraphicFramePr>
        </xdr:nvGraphicFramePr>
        <xdr:xfrm>
          <a:off x="7216415" y="3002280"/>
          <a:ext cx="3634741" cy="206883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198120</xdr:colOff>
      <xdr:row>16</xdr:row>
      <xdr:rowOff>1</xdr:rowOff>
    </xdr:from>
    <xdr:to>
      <xdr:col>2</xdr:col>
      <xdr:colOff>327660</xdr:colOff>
      <xdr:row>23</xdr:row>
      <xdr:rowOff>137161</xdr:rowOff>
    </xdr:to>
    <mc:AlternateContent xmlns:mc="http://schemas.openxmlformats.org/markup-compatibility/2006">
      <mc:Choice xmlns:a14="http://schemas.microsoft.com/office/drawing/2010/main" Requires="a14">
        <xdr:graphicFrame macro="">
          <xdr:nvGraphicFramePr>
            <xdr:cNvPr id="28" name="priority 1">
              <a:extLst>
                <a:ext uri="{FF2B5EF4-FFF2-40B4-BE49-F238E27FC236}">
                  <a16:creationId xmlns:a16="http://schemas.microsoft.com/office/drawing/2014/main" id="{1CB1D86A-5746-4F80-83FB-D743B3C32F60}"/>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198120" y="2926081"/>
              <a:ext cx="134874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23</xdr:row>
      <xdr:rowOff>91440</xdr:rowOff>
    </xdr:from>
    <xdr:to>
      <xdr:col>2</xdr:col>
      <xdr:colOff>289560</xdr:colOff>
      <xdr:row>28</xdr:row>
      <xdr:rowOff>15240</xdr:rowOff>
    </xdr:to>
    <mc:AlternateContent xmlns:mc="http://schemas.openxmlformats.org/markup-compatibility/2006">
      <mc:Choice xmlns:a14="http://schemas.microsoft.com/office/drawing/2010/main" Requires="a14">
        <xdr:graphicFrame macro="">
          <xdr:nvGraphicFramePr>
            <xdr:cNvPr id="29" name="Month 1">
              <a:extLst>
                <a:ext uri="{FF2B5EF4-FFF2-40B4-BE49-F238E27FC236}">
                  <a16:creationId xmlns:a16="http://schemas.microsoft.com/office/drawing/2014/main" id="{5FB43958-040D-44F6-BB77-3E428CF5CBF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67640" y="4297680"/>
              <a:ext cx="134112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101.867448958335" createdVersion="8" refreshedVersion="8" minRefreshableVersion="3" recordCount="150" xr:uid="{871C19D1-D8BB-4421-85CC-F4A37A6856F0}">
  <cacheSource type="worksheet">
    <worksheetSource name="Table2"/>
  </cacheSource>
  <cacheFields count="11">
    <cacheField name="ticket_id" numFmtId="0">
      <sharedItems count="150">
        <s v="TICKET-1000"/>
        <s v="TICKET-1001"/>
        <s v="TICKET-1002"/>
        <s v="TICKET-1003"/>
        <s v="TICKET-1004"/>
        <s v="TICKET-1005"/>
        <s v="TICKET-1006"/>
        <s v="TICKET-1007"/>
        <s v="TICKET-1008"/>
        <s v="TICKET-1009"/>
        <s v="TICKET-1010"/>
        <s v="TICKET-1011"/>
        <s v="TICKET-1012"/>
        <s v="TICKET-1013"/>
        <s v="TICKET-1014"/>
        <s v="TICKET-1015"/>
        <s v="TICKET-1016"/>
        <s v="TICKET-1017"/>
        <s v="TICKET-1018"/>
        <s v="TICKET-1019"/>
        <s v="TICKET-1020"/>
        <s v="TICKET-1021"/>
        <s v="TICKET-1022"/>
        <s v="TICKET-1023"/>
        <s v="TICKET-1024"/>
        <s v="TICKET-1025"/>
        <s v="TICKET-1026"/>
        <s v="TICKET-1027"/>
        <s v="TICKET-1028"/>
        <s v="TICKET-1029"/>
        <s v="TICKET-1030"/>
        <s v="TICKET-1031"/>
        <s v="TICKET-1032"/>
        <s v="TICKET-1033"/>
        <s v="TICKET-1034"/>
        <s v="TICKET-1035"/>
        <s v="TICKET-1036"/>
        <s v="TICKET-1037"/>
        <s v="TICKET-1038"/>
        <s v="TICKET-1039"/>
        <s v="TICKET-1040"/>
        <s v="TICKET-1041"/>
        <s v="TICKET-1042"/>
        <s v="TICKET-1043"/>
        <s v="TICKET-1044"/>
        <s v="TICKET-1045"/>
        <s v="TICKET-1046"/>
        <s v="TICKET-1047"/>
        <s v="TICKET-1048"/>
        <s v="TICKET-1049"/>
        <s v="TICKET-1050"/>
        <s v="TICKET-1051"/>
        <s v="TICKET-1052"/>
        <s v="TICKET-1053"/>
        <s v="TICKET-1054"/>
        <s v="TICKET-1055"/>
        <s v="TICKET-1056"/>
        <s v="TICKET-1057"/>
        <s v="TICKET-1058"/>
        <s v="TICKET-1059"/>
        <s v="TICKET-1060"/>
        <s v="TICKET-1061"/>
        <s v="TICKET-1062"/>
        <s v="TICKET-1063"/>
        <s v="TICKET-1064"/>
        <s v="TICKET-1065"/>
        <s v="TICKET-1066"/>
        <s v="TICKET-1067"/>
        <s v="TICKET-1068"/>
        <s v="TICKET-1069"/>
        <s v="TICKET-1070"/>
        <s v="TICKET-1071"/>
        <s v="TICKET-1072"/>
        <s v="TICKET-1073"/>
        <s v="TICKET-1074"/>
        <s v="TICKET-1075"/>
        <s v="TICKET-1076"/>
        <s v="TICKET-1077"/>
        <s v="TICKET-1078"/>
        <s v="TICKET-1079"/>
        <s v="TICKET-1080"/>
        <s v="TICKET-1081"/>
        <s v="TICKET-1082"/>
        <s v="TICKET-1083"/>
        <s v="TICKET-1084"/>
        <s v="TICKET-1085"/>
        <s v="TICKET-1086"/>
        <s v="TICKET-1087"/>
        <s v="TICKET-1088"/>
        <s v="TICKET-1089"/>
        <s v="TICKET-1090"/>
        <s v="TICKET-1091"/>
        <s v="TICKET-1092"/>
        <s v="TICKET-1093"/>
        <s v="TICKET-1094"/>
        <s v="TICKET-1095"/>
        <s v="TICKET-1096"/>
        <s v="TICKET-1097"/>
        <s v="TICKET-1098"/>
        <s v="TICKET-1099"/>
        <s v="TICKET-1100"/>
        <s v="TICKET-1101"/>
        <s v="TICKET-1102"/>
        <s v="TICKET-1103"/>
        <s v="TICKET-1104"/>
        <s v="TICKET-1105"/>
        <s v="TICKET-1106"/>
        <s v="TICKET-1107"/>
        <s v="TICKET-1108"/>
        <s v="TICKET-1109"/>
        <s v="TICKET-1110"/>
        <s v="TICKET-1111"/>
        <s v="TICKET-1112"/>
        <s v="TICKET-1113"/>
        <s v="TICKET-1114"/>
        <s v="TICKET-1115"/>
        <s v="TICKET-1116"/>
        <s v="TICKET-1117"/>
        <s v="TICKET-1118"/>
        <s v="TICKET-1119"/>
        <s v="TICKET-1120"/>
        <s v="TICKET-1121"/>
        <s v="TICKET-1122"/>
        <s v="TICKET-1123"/>
        <s v="TICKET-1124"/>
        <s v="TICKET-1125"/>
        <s v="TICKET-1126"/>
        <s v="TICKET-1127"/>
        <s v="TICKET-1128"/>
        <s v="TICKET-1129"/>
        <s v="TICKET-1130"/>
        <s v="TICKET-1131"/>
        <s v="TICKET-1132"/>
        <s v="TICKET-1133"/>
        <s v="TICKET-1134"/>
        <s v="TICKET-1135"/>
        <s v="TICKET-1136"/>
        <s v="TICKET-1137"/>
        <s v="TICKET-1138"/>
        <s v="TICKET-1139"/>
        <s v="TICKET-1140"/>
        <s v="TICKET-1141"/>
        <s v="TICKET-1142"/>
        <s v="TICKET-1143"/>
        <s v="TICKET-1144"/>
        <s v="TICKET-1145"/>
        <s v="TICKET-1146"/>
        <s v="TICKET-1147"/>
        <s v="TICKET-1148"/>
        <s v="TICKET-1149"/>
      </sharedItems>
    </cacheField>
    <cacheField name="submission_date" numFmtId="14">
      <sharedItems containsSemiMixedTypes="0" containsNonDate="0" containsDate="1" containsString="0" minDate="2025-06-18T07:42:24" maxDate="2025-09-15T13:02:57"/>
    </cacheField>
    <cacheField name="resolution_date" numFmtId="14">
      <sharedItems containsSemiMixedTypes="0" containsNonDate="0" containsDate="1" containsString="0" minDate="2025-06-19T21:32:31" maxDate="2025-09-17T23:47:19"/>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ount="4">
        <s v="High"/>
        <s v="Medium"/>
        <s v="Low"/>
        <s v="Critical"/>
      </sharedItems>
    </cacheField>
    <cacheField name="Resolution Time" numFmtId="2">
      <sharedItems containsSemiMixedTypes="0" containsString="0" containsNumber="1" minValue="1.5365711110644042" maxValue="167.59663333342178" count="150">
        <n v="5.1735194444772787"/>
        <n v="35.835202499991283"/>
        <n v="38.309437499963678"/>
        <n v="7.8459177776821889"/>
        <n v="9.1162583333789371"/>
        <n v="133.33368749998044"/>
        <n v="27.559388888825197"/>
        <n v="108.71431305556325"/>
        <n v="17.387358055450022"/>
        <n v="29.151188888819888"/>
        <n v="147.14153527765302"/>
        <n v="3.8372252777335234"/>
        <n v="17.115037777635735"/>
        <n v="102.76395249995403"/>
        <n v="2.6426983333658427"/>
        <n v="2.7640863888664171"/>
        <n v="116.44657277787337"/>
        <n v="51.918000000121538"/>
        <n v="84.755737222207244"/>
        <n v="40.523201666772366"/>
        <n v="36.284043611143716"/>
        <n v="45.837675833317917"/>
        <n v="17.074626388843171"/>
        <n v="39.931116944295354"/>
        <n v="102.08274805551628"/>
        <n v="37.88586027774727"/>
        <n v="11.800193611183204"/>
        <n v="45.769049444468692"/>
        <n v="42.905721111106686"/>
        <n v="32.695510555466171"/>
        <n v="150.35184000001755"/>
        <n v="7.6059738888870925"/>
        <n v="132.49974805559032"/>
        <n v="129.92903861106606"/>
        <n v="146.62014916667249"/>
        <n v="25.812275277741719"/>
        <n v="93.53977527783718"/>
        <n v="149.17866749991663"/>
        <n v="10.381147500069346"/>
        <n v="12.236511666735169"/>
        <n v="41.163475555542391"/>
        <n v="24.935883888916578"/>
        <n v="154.30078805558151"/>
        <n v="1.5365711110644042"/>
        <n v="4.1308872221270576"/>
        <n v="11.384240555518772"/>
        <n v="45.981414999871049"/>
        <n v="117.56077138893306"/>
        <n v="12.45312888873741"/>
        <n v="26.690726111002732"/>
        <n v="110.78663972223876"/>
        <n v="149.55620611121412"/>
        <n v="15.098935833200812"/>
        <n v="13.197324444539845"/>
        <n v="10.050953888974618"/>
        <n v="40.683295277820434"/>
        <n v="30.605780555633828"/>
        <n v="166.32303749991115"/>
        <n v="41.562863888859283"/>
        <n v="31.670991666731425"/>
        <n v="24.736738611012697"/>
        <n v="37.730805555533152"/>
        <n v="23.700668333389331"/>
        <n v="7.974366111215204"/>
        <n v="8.061980833299458"/>
        <n v="14.739060000109021"/>
        <n v="133.7251938888221"/>
        <n v="34.744843055668753"/>
        <n v="78.502738055598456"/>
        <n v="24.108923611056525"/>
        <n v="3.2174963888246566"/>
        <n v="20.04974666662747"/>
        <n v="37.83530583337415"/>
        <n v="8.1097877778229304"/>
        <n v="144.03052055567969"/>
        <n v="7.8787933333078399"/>
        <n v="3.6636022221646272"/>
        <n v="6.9611850001383573"/>
        <n v="63.510849444370251"/>
        <n v="95.1639505555504"/>
        <n v="149.8176580555737"/>
        <n v="105.16462888894603"/>
        <n v="45.064024999912363"/>
        <n v="59.617646388884168"/>
        <n v="110.1942252778681"/>
        <n v="8.7434869443532079"/>
        <n v="35.308717777894344"/>
        <n v="20.010911944555119"/>
        <n v="31.555126388906501"/>
        <n v="145.01276666665217"/>
        <n v="18.295303611026611"/>
        <n v="150.53814916661941"/>
        <n v="46.390991388936527"/>
        <n v="81.685709444456734"/>
        <n v="105.60925638891058"/>
        <n v="28.031021388829686"/>
        <n v="43.742992222309113"/>
        <n v="160.21090972214006"/>
        <n v="3.0616663889377378"/>
        <n v="8.8113313889480196"/>
        <n v="2.0685288888635114"/>
        <n v="41.605333055660594"/>
        <n v="26.523077499994542"/>
        <n v="11.395052499894518"/>
        <n v="4.2905480556073599"/>
        <n v="57.938167500018608"/>
        <n v="30.193270277814008"/>
        <n v="65.283170000009704"/>
        <n v="4.9788058333215304"/>
        <n v="166.00622638879577"/>
        <n v="6.6577211109688506"/>
        <n v="167.17152916663326"/>
        <n v="116.64569888898404"/>
        <n v="2.1963719445629977"/>
        <n v="14.470271944475826"/>
        <n v="113.80862611118937"/>
        <n v="32.350627499981783"/>
        <n v="43.64519111107802"/>
        <n v="158.29284999996889"/>
        <n v="18.828435555682518"/>
        <n v="18.383862499846146"/>
        <n v="14.387059999862686"/>
        <n v="18.575216666562483"/>
        <n v="41.917130555491894"/>
        <n v="12.709414444339927"/>
        <n v="17.723529444483574"/>
        <n v="94.699864166672342"/>
        <n v="106.00362444436178"/>
        <n v="8.2745902778115124"/>
        <n v="46.64600083330879"/>
        <n v="43.714935555530246"/>
        <n v="92.843407222302631"/>
        <n v="83.458815555553883"/>
        <n v="9.966525555588305"/>
        <n v="167.59663333342178"/>
        <n v="114.81629194447305"/>
        <n v="77.951536388893146"/>
        <n v="38.037633333471604"/>
        <n v="23.30690499994671"/>
        <n v="139.76372777775396"/>
        <n v="14.877491944469512"/>
        <n v="12.868507222097833"/>
        <n v="29.233325277746189"/>
        <n v="88.001805555482861"/>
        <n v="12.229459166585002"/>
        <n v="2.009704444441013"/>
        <n v="7.8493558333721012"/>
        <n v="84.074126666528173"/>
        <n v="26.466056388861034"/>
        <n v="24.012929444492329"/>
      </sharedItems>
    </cacheField>
    <cacheField name="Days of week" numFmtId="0">
      <sharedItems count="7">
        <s v="Fri"/>
        <s v="Mon"/>
        <s v="Thu"/>
        <s v="Wed"/>
        <s v="Sat"/>
        <s v="Tue"/>
        <s v="Sun"/>
      </sharedItems>
    </cacheField>
    <cacheField name="Month" numFmtId="0">
      <sharedItems count="4">
        <s v="Jun"/>
        <s v="Sep"/>
        <s v="Jul"/>
        <s v="Aug"/>
      </sharedItems>
    </cacheField>
    <cacheField name="Hours" numFmtId="0">
      <sharedItems containsSemiMixedTypes="0" containsString="0" containsNumber="1" containsInteger="1" minValue="0" maxValue="23" count="24">
        <n v="3"/>
        <n v="7"/>
        <n v="23"/>
        <n v="1"/>
        <n v="6"/>
        <n v="9"/>
        <n v="14"/>
        <n v="20"/>
        <n v="10"/>
        <n v="19"/>
        <n v="16"/>
        <n v="5"/>
        <n v="2"/>
        <n v="15"/>
        <n v="8"/>
        <n v="11"/>
        <n v="4"/>
        <n v="12"/>
        <n v="17"/>
        <n v="22"/>
        <n v="21"/>
        <n v="13"/>
        <n v="0"/>
        <n v="18"/>
      </sharedItems>
    </cacheField>
  </cacheFields>
  <extLst>
    <ext xmlns:x14="http://schemas.microsoft.com/office/spreadsheetml/2009/9/main" uri="{725AE2AE-9491-48be-B2B4-4EB974FC3084}">
      <x14:pivotCacheDefinition pivotCacheId="266162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d v="2025-06-27T22:36:16"/>
    <d v="2025-06-28T03:46:41"/>
    <x v="0"/>
    <x v="0"/>
    <s v="Dream part subject until full. Brother century suddenly above. Six eight benefit animal move best."/>
    <x v="0"/>
    <x v="0"/>
    <x v="0"/>
    <x v="0"/>
    <x v="0"/>
  </r>
  <r>
    <x v="1"/>
    <d v="2025-09-01T19:27:59"/>
    <d v="2025-09-03T07:18:06"/>
    <x v="1"/>
    <x v="1"/>
    <s v="Application X is crashing every time I open it. Lead how phone also score player later blue."/>
    <x v="1"/>
    <x v="1"/>
    <x v="1"/>
    <x v="1"/>
    <x v="1"/>
  </r>
  <r>
    <x v="2"/>
    <d v="2025-09-04T09:32:03"/>
    <d v="2025-09-05T23:50:37"/>
    <x v="0"/>
    <x v="2"/>
    <s v="Black attack cold would page. Reality she war a chance. Physical hour Mr item red agreement for."/>
    <x v="1"/>
    <x v="2"/>
    <x v="2"/>
    <x v="1"/>
    <x v="2"/>
  </r>
  <r>
    <x v="3"/>
    <d v="2025-07-28T17:47:34"/>
    <d v="2025-07-29T01:38:19"/>
    <x v="2"/>
    <x v="3"/>
    <s v="My laptop's keyboard isn't working properly, some keys are stuck. Tree culture above effort more national whether."/>
    <x v="0"/>
    <x v="3"/>
    <x v="1"/>
    <x v="2"/>
    <x v="3"/>
  </r>
  <r>
    <x v="4"/>
    <d v="2025-09-03T21:46:09"/>
    <d v="2025-09-04T06:53:07"/>
    <x v="1"/>
    <x v="4"/>
    <s v="Application X is crashing every time I open it. Order wrong fight foreign bad house pick."/>
    <x v="0"/>
    <x v="4"/>
    <x v="3"/>
    <x v="1"/>
    <x v="4"/>
  </r>
  <r>
    <x v="5"/>
    <d v="2025-08-04T20:32:40"/>
    <d v="2025-08-10T09:52:42"/>
    <x v="1"/>
    <x v="2"/>
    <s v="Application X is crashing every time I open it. Sport should network realize relate very voice."/>
    <x v="2"/>
    <x v="5"/>
    <x v="1"/>
    <x v="3"/>
    <x v="5"/>
  </r>
  <r>
    <x v="6"/>
    <d v="2025-08-22T10:38:16"/>
    <d v="2025-08-23T14:11:49"/>
    <x v="3"/>
    <x v="5"/>
    <s v="I'm locked out of my account and can't reset my password. If rather year suffer wrong."/>
    <x v="2"/>
    <x v="6"/>
    <x v="0"/>
    <x v="3"/>
    <x v="6"/>
  </r>
  <r>
    <x v="7"/>
    <d v="2025-07-05T07:43:28"/>
    <d v="2025-07-09T20:26:19"/>
    <x v="1"/>
    <x v="6"/>
    <s v="Application X is crashing every time I open it. Here bill leg region training. Grow new may."/>
    <x v="2"/>
    <x v="7"/>
    <x v="4"/>
    <x v="2"/>
    <x v="7"/>
  </r>
  <r>
    <x v="8"/>
    <d v="2025-07-07T16:41:14"/>
    <d v="2025-07-08T10:04:28"/>
    <x v="2"/>
    <x v="6"/>
    <s v="My laptop's keyboard isn't working properly, some keys are stuck. Common maintain theory involve ok detail."/>
    <x v="1"/>
    <x v="8"/>
    <x v="1"/>
    <x v="2"/>
    <x v="8"/>
  </r>
  <r>
    <x v="9"/>
    <d v="2025-09-10T14:49:33"/>
    <d v="2025-09-11T19:58:37"/>
    <x v="1"/>
    <x v="2"/>
    <s v="Application X is crashing every time I open it. Responsibility again recently traditional word."/>
    <x v="1"/>
    <x v="9"/>
    <x v="3"/>
    <x v="1"/>
    <x v="9"/>
  </r>
  <r>
    <x v="10"/>
    <d v="2025-08-27T13:20:02"/>
    <d v="2025-09-02T16:28:31"/>
    <x v="1"/>
    <x v="7"/>
    <s v="Application X is crashing every time I open it. Structure this woman born."/>
    <x v="2"/>
    <x v="10"/>
    <x v="3"/>
    <x v="3"/>
    <x v="10"/>
  </r>
  <r>
    <x v="11"/>
    <d v="2025-06-24T01:56:19"/>
    <d v="2025-06-24T05:46:33"/>
    <x v="4"/>
    <x v="8"/>
    <s v="Can't connect to the Wi-Fi. It's showing 'No internet access'. Maintain without college strong few not week."/>
    <x v="0"/>
    <x v="11"/>
    <x v="5"/>
    <x v="0"/>
    <x v="11"/>
  </r>
  <r>
    <x v="12"/>
    <d v="2025-06-28T09:51:47"/>
    <d v="2025-06-29T02:58:41"/>
    <x v="4"/>
    <x v="0"/>
    <s v="Can't connect to the Wi-Fi. It's showing 'No internet access'. Official human task door century energy Mr."/>
    <x v="1"/>
    <x v="12"/>
    <x v="4"/>
    <x v="0"/>
    <x v="12"/>
  </r>
  <r>
    <x v="13"/>
    <d v="2025-07-22T09:08:54"/>
    <d v="2025-07-26T15:54:44"/>
    <x v="1"/>
    <x v="6"/>
    <s v="Application X is crashing every time I open it. Spring operation performance glass choice kind."/>
    <x v="2"/>
    <x v="13"/>
    <x v="5"/>
    <x v="2"/>
    <x v="13"/>
  </r>
  <r>
    <x v="14"/>
    <d v="2025-07-09T22:32:58"/>
    <d v="2025-07-10T01:11:32"/>
    <x v="1"/>
    <x v="1"/>
    <s v="Application X is crashing every time I open it. Summer yard maintain fire ask eight."/>
    <x v="0"/>
    <x v="14"/>
    <x v="3"/>
    <x v="2"/>
    <x v="3"/>
  </r>
  <r>
    <x v="15"/>
    <d v="2025-07-23T22:34:11"/>
    <d v="2025-07-24T01:20:01"/>
    <x v="1"/>
    <x v="9"/>
    <s v="Application X is crashing every time I open it. Least check between event. Can brother two form."/>
    <x v="0"/>
    <x v="15"/>
    <x v="3"/>
    <x v="2"/>
    <x v="3"/>
  </r>
  <r>
    <x v="16"/>
    <d v="2025-08-06T11:52:05"/>
    <d v="2025-08-11T08:18:53"/>
    <x v="1"/>
    <x v="6"/>
    <s v="Application X is crashing every time I open it. Resource in affect charge customer accept dream."/>
    <x v="2"/>
    <x v="16"/>
    <x v="3"/>
    <x v="3"/>
    <x v="14"/>
  </r>
  <r>
    <x v="17"/>
    <d v="2025-06-30T16:42:14"/>
    <d v="2025-07-02T20:37:19"/>
    <x v="5"/>
    <x v="0"/>
    <s v="Thought national word picture each deep."/>
    <x v="2"/>
    <x v="17"/>
    <x v="1"/>
    <x v="0"/>
    <x v="7"/>
  </r>
  <r>
    <x v="18"/>
    <d v="2025-06-30T23:03:04"/>
    <d v="2025-07-04T11:48:25"/>
    <x v="4"/>
    <x v="3"/>
    <s v="Can't connect to the Wi-Fi. It's showing 'No internet access'. Card series research else cup though artist."/>
    <x v="2"/>
    <x v="18"/>
    <x v="1"/>
    <x v="0"/>
    <x v="15"/>
  </r>
  <r>
    <x v="19"/>
    <d v="2025-07-03T07:27:15"/>
    <d v="2025-07-04T23:58:39"/>
    <x v="2"/>
    <x v="3"/>
    <s v="My laptop's keyboard isn't working properly, some keys are stuck. Young up grow after offer east region would."/>
    <x v="1"/>
    <x v="19"/>
    <x v="2"/>
    <x v="2"/>
    <x v="2"/>
  </r>
  <r>
    <x v="20"/>
    <d v="2025-06-23T22:49:38"/>
    <d v="2025-06-25T11:06:40"/>
    <x v="1"/>
    <x v="1"/>
    <s v="Application X is crashing every time I open it. Nice then management."/>
    <x v="1"/>
    <x v="20"/>
    <x v="1"/>
    <x v="0"/>
    <x v="15"/>
  </r>
  <r>
    <x v="21"/>
    <d v="2025-07-08T11:34:57"/>
    <d v="2025-07-10T09:25:12"/>
    <x v="1"/>
    <x v="0"/>
    <s v="Application X is crashing every time I open it. Water act involve follow hot."/>
    <x v="1"/>
    <x v="21"/>
    <x v="5"/>
    <x v="2"/>
    <x v="5"/>
  </r>
  <r>
    <x v="22"/>
    <d v="2025-06-22T23:29:46"/>
    <d v="2025-06-23T16:34:14"/>
    <x v="1"/>
    <x v="7"/>
    <s v="Application X is crashing every time I open it. Another such apply table let."/>
    <x v="1"/>
    <x v="22"/>
    <x v="6"/>
    <x v="0"/>
    <x v="10"/>
  </r>
  <r>
    <x v="23"/>
    <d v="2025-08-29T12:27:53"/>
    <d v="2025-08-31T04:23:45"/>
    <x v="1"/>
    <x v="4"/>
    <s v="Application X is crashing every time I open it. Senior per draw day mention sea quickly."/>
    <x v="1"/>
    <x v="23"/>
    <x v="0"/>
    <x v="3"/>
    <x v="16"/>
  </r>
  <r>
    <x v="24"/>
    <d v="2025-07-12T03:37:37"/>
    <d v="2025-07-16T09:42:35"/>
    <x v="4"/>
    <x v="3"/>
    <s v="Can't connect to the Wi-Fi. It's showing 'No internet access'. Race Republican expect east might collection."/>
    <x v="2"/>
    <x v="24"/>
    <x v="4"/>
    <x v="2"/>
    <x v="5"/>
  </r>
  <r>
    <x v="25"/>
    <d v="2025-07-13T05:42:50"/>
    <d v="2025-07-14T19:35:59"/>
    <x v="1"/>
    <x v="1"/>
    <s v="Application X is crashing every time I open it. Total maintain service writer."/>
    <x v="1"/>
    <x v="25"/>
    <x v="6"/>
    <x v="2"/>
    <x v="9"/>
  </r>
  <r>
    <x v="26"/>
    <d v="2025-06-24T00:26:51"/>
    <d v="2025-06-24T12:14:52"/>
    <x v="4"/>
    <x v="4"/>
    <s v="Can't connect to the Wi-Fi. It's showing 'No internet access'. Individual herself decide generation."/>
    <x v="0"/>
    <x v="26"/>
    <x v="5"/>
    <x v="0"/>
    <x v="17"/>
  </r>
  <r>
    <x v="27"/>
    <d v="2025-07-03T19:29:05"/>
    <d v="2025-07-05T17:15:14"/>
    <x v="6"/>
    <x v="1"/>
    <s v="Yourself floor foot character choose. Brother prepare but film key name."/>
    <x v="1"/>
    <x v="27"/>
    <x v="2"/>
    <x v="2"/>
    <x v="18"/>
  </r>
  <r>
    <x v="28"/>
    <d v="2025-09-15T13:02:57"/>
    <d v="2025-09-17T07:57:18"/>
    <x v="0"/>
    <x v="0"/>
    <s v="Successful radio play network yet. Fill director direction ready white."/>
    <x v="2"/>
    <x v="28"/>
    <x v="1"/>
    <x v="1"/>
    <x v="1"/>
  </r>
  <r>
    <x v="29"/>
    <d v="2025-08-27T21:57:13"/>
    <d v="2025-08-29T06:38:57"/>
    <x v="1"/>
    <x v="2"/>
    <s v="Application X is crashing every time I open it. Southern beat general first much hotel agency."/>
    <x v="1"/>
    <x v="29"/>
    <x v="3"/>
    <x v="3"/>
    <x v="4"/>
  </r>
  <r>
    <x v="30"/>
    <d v="2025-08-30T20:17:04"/>
    <d v="2025-09-06T02:38:11"/>
    <x v="4"/>
    <x v="2"/>
    <s v="Can't connect to the Wi-Fi. It's showing 'No internet access'. Cup government by life reduce each customer."/>
    <x v="2"/>
    <x v="30"/>
    <x v="4"/>
    <x v="3"/>
    <x v="12"/>
  </r>
  <r>
    <x v="31"/>
    <d v="2025-08-24T23:58:58"/>
    <d v="2025-08-25T07:35:19"/>
    <x v="1"/>
    <x v="1"/>
    <s v="Application X is crashing every time I open it. Market growth film."/>
    <x v="0"/>
    <x v="31"/>
    <x v="6"/>
    <x v="3"/>
    <x v="1"/>
  </r>
  <r>
    <x v="32"/>
    <d v="2025-07-11T18:10:39"/>
    <d v="2025-07-17T06:40:38"/>
    <x v="4"/>
    <x v="6"/>
    <s v="Can't connect to the Wi-Fi. It's showing 'No internet access'. Could north state feel others participant."/>
    <x v="2"/>
    <x v="32"/>
    <x v="0"/>
    <x v="2"/>
    <x v="4"/>
  </r>
  <r>
    <x v="33"/>
    <d v="2025-09-04T19:33:03"/>
    <d v="2025-09-10T05:28:47"/>
    <x v="6"/>
    <x v="5"/>
    <s v="Follow chair add finally these plan staff. Across shoulder school free."/>
    <x v="2"/>
    <x v="33"/>
    <x v="2"/>
    <x v="1"/>
    <x v="11"/>
  </r>
  <r>
    <x v="34"/>
    <d v="2025-08-24T17:06:08"/>
    <d v="2025-08-30T19:43:21"/>
    <x v="1"/>
    <x v="4"/>
    <s v="Application X is crashing every time I open it. Bag half join treat water by affect."/>
    <x v="2"/>
    <x v="34"/>
    <x v="6"/>
    <x v="3"/>
    <x v="9"/>
  </r>
  <r>
    <x v="35"/>
    <d v="2025-06-30T17:48:03"/>
    <d v="2025-07-01T19:36:47"/>
    <x v="2"/>
    <x v="1"/>
    <s v="My laptop's keyboard isn't working properly, some keys are stuck. Science bad news pressure anything probably save."/>
    <x v="2"/>
    <x v="35"/>
    <x v="1"/>
    <x v="0"/>
    <x v="9"/>
  </r>
  <r>
    <x v="36"/>
    <d v="2025-09-09T08:46:26"/>
    <d v="2025-09-13T06:18:49"/>
    <x v="1"/>
    <x v="8"/>
    <s v="Application X is crashing every time I open it. Fund project find law identify close worker."/>
    <x v="2"/>
    <x v="36"/>
    <x v="5"/>
    <x v="1"/>
    <x v="4"/>
  </r>
  <r>
    <x v="37"/>
    <d v="2025-08-11T10:56:36"/>
    <d v="2025-08-17T16:07:19"/>
    <x v="0"/>
    <x v="7"/>
    <s v="Rate play media air. Trade thank hundred choice reduce remember possible us."/>
    <x v="2"/>
    <x v="37"/>
    <x v="1"/>
    <x v="3"/>
    <x v="10"/>
  </r>
  <r>
    <x v="38"/>
    <d v="2025-09-01T16:20:12"/>
    <d v="2025-09-02T02:43:04"/>
    <x v="1"/>
    <x v="5"/>
    <s v="Application X is crashing every time I open it. Effort avoid door shoulder cut."/>
    <x v="1"/>
    <x v="38"/>
    <x v="1"/>
    <x v="1"/>
    <x v="12"/>
  </r>
  <r>
    <x v="39"/>
    <d v="2025-08-14T20:30:07"/>
    <d v="2025-08-15T08:44:19"/>
    <x v="3"/>
    <x v="6"/>
    <s v="I'm locked out of my account and can't reset my password. Point fine stop radio chair tree career scene."/>
    <x v="1"/>
    <x v="39"/>
    <x v="2"/>
    <x v="3"/>
    <x v="14"/>
  </r>
  <r>
    <x v="40"/>
    <d v="2025-09-05T05:49:39"/>
    <d v="2025-09-06T22:59:27"/>
    <x v="4"/>
    <x v="0"/>
    <s v="Can't connect to the Wi-Fi. It's showing 'No internet access'. Simple practice operation move put."/>
    <x v="1"/>
    <x v="40"/>
    <x v="0"/>
    <x v="1"/>
    <x v="19"/>
  </r>
  <r>
    <x v="41"/>
    <d v="2025-09-13T18:26:30"/>
    <d v="2025-09-14T19:22:39"/>
    <x v="2"/>
    <x v="1"/>
    <s v="My laptop's keyboard isn't working properly, some keys are stuck. Firm discuss audience say amount."/>
    <x v="2"/>
    <x v="41"/>
    <x v="4"/>
    <x v="1"/>
    <x v="9"/>
  </r>
  <r>
    <x v="42"/>
    <d v="2025-07-28T00:42:24"/>
    <d v="2025-08-03T11:00:27"/>
    <x v="6"/>
    <x v="9"/>
    <s v="Physical business information._x000a_Activity else house another. Still protect admit answer."/>
    <x v="2"/>
    <x v="42"/>
    <x v="1"/>
    <x v="2"/>
    <x v="15"/>
  </r>
  <r>
    <x v="43"/>
    <d v="2025-07-30T21:37:33"/>
    <d v="2025-07-30T23:09:44"/>
    <x v="1"/>
    <x v="6"/>
    <s v="Application X is crashing every time I open it. Anything despite not."/>
    <x v="3"/>
    <x v="43"/>
    <x v="3"/>
    <x v="2"/>
    <x v="2"/>
  </r>
  <r>
    <x v="44"/>
    <d v="2025-08-03T03:02:33"/>
    <d v="2025-08-03T07:10:24"/>
    <x v="2"/>
    <x v="5"/>
    <s v="My laptop's keyboard isn't working properly, some keys are stuck. Film answer tax different carry represent."/>
    <x v="0"/>
    <x v="44"/>
    <x v="6"/>
    <x v="3"/>
    <x v="1"/>
  </r>
  <r>
    <x v="45"/>
    <d v="2025-07-05T09:41:54"/>
    <d v="2025-07-05T21:04:57"/>
    <x v="1"/>
    <x v="1"/>
    <s v="Application X is crashing every time I open it. American computer let go event."/>
    <x v="0"/>
    <x v="45"/>
    <x v="4"/>
    <x v="2"/>
    <x v="20"/>
  </r>
  <r>
    <x v="46"/>
    <d v="2025-08-30T13:43:06"/>
    <d v="2025-09-01T11:41:59"/>
    <x v="4"/>
    <x v="4"/>
    <s v="Can't connect to the Wi-Fi. It's showing 'No internet access'. Build oil wait community less happen."/>
    <x v="1"/>
    <x v="46"/>
    <x v="4"/>
    <x v="3"/>
    <x v="15"/>
  </r>
  <r>
    <x v="47"/>
    <d v="2025-06-22T15:23:41"/>
    <d v="2025-06-27T12:57:19"/>
    <x v="3"/>
    <x v="1"/>
    <s v="I'm locked out of my account and can't reset my password. Decide stuff agree national politics current son."/>
    <x v="2"/>
    <x v="47"/>
    <x v="6"/>
    <x v="0"/>
    <x v="17"/>
  </r>
  <r>
    <x v="48"/>
    <d v="2025-07-03T03:12:43"/>
    <d v="2025-07-03T15:39:54"/>
    <x v="4"/>
    <x v="1"/>
    <s v="Can't connect to the Wi-Fi. It's showing 'No internet access'. Phone interview worker could."/>
    <x v="1"/>
    <x v="48"/>
    <x v="2"/>
    <x v="2"/>
    <x v="13"/>
  </r>
  <r>
    <x v="49"/>
    <d v="2025-08-09T17:51:19"/>
    <d v="2025-08-10T20:32:46"/>
    <x v="4"/>
    <x v="1"/>
    <s v="Can't connect to the Wi-Fi. It's showing 'No internet access'. Together life least mission."/>
    <x v="1"/>
    <x v="49"/>
    <x v="4"/>
    <x v="3"/>
    <x v="7"/>
  </r>
  <r>
    <x v="50"/>
    <d v="2025-07-23T08:22:42"/>
    <d v="2025-07-27T23:09:54"/>
    <x v="0"/>
    <x v="3"/>
    <s v="If forget newspaper behavior note put. Almost affect entire. Trial set capital real."/>
    <x v="2"/>
    <x v="50"/>
    <x v="3"/>
    <x v="2"/>
    <x v="2"/>
  </r>
  <r>
    <x v="51"/>
    <d v="2025-07-31T19:51:43"/>
    <d v="2025-08-07T01:25:06"/>
    <x v="1"/>
    <x v="1"/>
    <s v="Application X is crashing every time I open it. My sound short."/>
    <x v="2"/>
    <x v="51"/>
    <x v="2"/>
    <x v="2"/>
    <x v="3"/>
  </r>
  <r>
    <x v="52"/>
    <d v="2025-06-29T02:21:50"/>
    <d v="2025-06-29T17:27:46"/>
    <x v="1"/>
    <x v="3"/>
    <s v="Application X is crashing every time I open it. Where culture site value set."/>
    <x v="1"/>
    <x v="52"/>
    <x v="6"/>
    <x v="0"/>
    <x v="18"/>
  </r>
  <r>
    <x v="53"/>
    <d v="2025-08-15T20:41:48"/>
    <d v="2025-08-16T09:53:39"/>
    <x v="1"/>
    <x v="1"/>
    <s v="Application X is crashing every time I open it. Go claim billion small experience old."/>
    <x v="1"/>
    <x v="53"/>
    <x v="0"/>
    <x v="3"/>
    <x v="5"/>
  </r>
  <r>
    <x v="54"/>
    <d v="2025-07-15T09:00:06"/>
    <d v="2025-07-15T19:03:10"/>
    <x v="4"/>
    <x v="2"/>
    <s v="Can't connect to the Wi-Fi. It's showing 'No internet access'. Option name including."/>
    <x v="0"/>
    <x v="54"/>
    <x v="5"/>
    <x v="2"/>
    <x v="9"/>
  </r>
  <r>
    <x v="55"/>
    <d v="2025-06-21T01:06:48"/>
    <d v="2025-06-22T17:47:48"/>
    <x v="3"/>
    <x v="1"/>
    <s v="I'm locked out of my account and can't reset my password. Idea enter expert decision something."/>
    <x v="1"/>
    <x v="55"/>
    <x v="4"/>
    <x v="0"/>
    <x v="18"/>
  </r>
  <r>
    <x v="56"/>
    <d v="2025-08-02T07:52:13"/>
    <d v="2025-08-03T14:28:34"/>
    <x v="0"/>
    <x v="3"/>
    <s v="Through culture similar finally. Oil world money about fine street small."/>
    <x v="1"/>
    <x v="56"/>
    <x v="4"/>
    <x v="3"/>
    <x v="6"/>
  </r>
  <r>
    <x v="57"/>
    <d v="2025-07-22T08:29:35"/>
    <d v="2025-07-29T06:48:58"/>
    <x v="5"/>
    <x v="6"/>
    <s v="Weight go sort sign law response since. Sister other actually Mrs fight everything get."/>
    <x v="2"/>
    <x v="57"/>
    <x v="5"/>
    <x v="2"/>
    <x v="4"/>
  </r>
  <r>
    <x v="58"/>
    <d v="2025-08-06T13:42:51"/>
    <d v="2025-08-08T07:16:37"/>
    <x v="0"/>
    <x v="6"/>
    <s v="Particular ask company nearly exist exactly friend."/>
    <x v="1"/>
    <x v="58"/>
    <x v="3"/>
    <x v="3"/>
    <x v="1"/>
  </r>
  <r>
    <x v="59"/>
    <d v="2025-06-19T06:37:43"/>
    <d v="2025-06-20T14:17:59"/>
    <x v="1"/>
    <x v="5"/>
    <s v="Application X is crashing every time I open it. Skin subject purpose baby training."/>
    <x v="1"/>
    <x v="59"/>
    <x v="2"/>
    <x v="0"/>
    <x v="6"/>
  </r>
  <r>
    <x v="60"/>
    <d v="2025-08-27T11:05:38"/>
    <d v="2025-08-28T11:49:50"/>
    <x v="2"/>
    <x v="3"/>
    <s v="My laptop's keyboard isn't working properly, some keys are stuck. Than none office improve."/>
    <x v="1"/>
    <x v="60"/>
    <x v="3"/>
    <x v="3"/>
    <x v="15"/>
  </r>
  <r>
    <x v="61"/>
    <d v="2025-09-10T20:19:38"/>
    <d v="2025-09-12T10:03:29"/>
    <x v="1"/>
    <x v="0"/>
    <s v="Application X is crashing every time I open it. With because article scene father black."/>
    <x v="1"/>
    <x v="61"/>
    <x v="3"/>
    <x v="1"/>
    <x v="8"/>
  </r>
  <r>
    <x v="62"/>
    <d v="2025-07-01T16:39:40"/>
    <d v="2025-07-02T16:21:43"/>
    <x v="1"/>
    <x v="7"/>
    <s v="Application X is crashing every time I open it. Food pass energy fund need read anything."/>
    <x v="1"/>
    <x v="62"/>
    <x v="5"/>
    <x v="2"/>
    <x v="10"/>
  </r>
  <r>
    <x v="63"/>
    <d v="2025-08-02T07:57:09"/>
    <d v="2025-08-02T15:55:37"/>
    <x v="3"/>
    <x v="7"/>
    <s v="I'm locked out of my account and can't reset my password. Agreement news significant cultural agree."/>
    <x v="0"/>
    <x v="63"/>
    <x v="4"/>
    <x v="3"/>
    <x v="13"/>
  </r>
  <r>
    <x v="64"/>
    <d v="2025-09-10T05:58:12"/>
    <d v="2025-09-10T14:01:55"/>
    <x v="3"/>
    <x v="4"/>
    <s v="I'm locked out of my account and can't reset my password. Especially under always tend teacher build."/>
    <x v="1"/>
    <x v="64"/>
    <x v="3"/>
    <x v="1"/>
    <x v="6"/>
  </r>
  <r>
    <x v="65"/>
    <d v="2025-08-17T19:11:16"/>
    <d v="2025-08-18T09:55:36"/>
    <x v="4"/>
    <x v="0"/>
    <s v="Can't connect to the Wi-Fi. It's showing 'No internet access'. Child as debate economy."/>
    <x v="1"/>
    <x v="65"/>
    <x v="6"/>
    <x v="3"/>
    <x v="5"/>
  </r>
  <r>
    <x v="66"/>
    <d v="2025-07-18T06:21:58"/>
    <d v="2025-07-23T20:05:28"/>
    <x v="2"/>
    <x v="2"/>
    <s v="My laptop's keyboard isn't working properly, some keys are stuck. Someone poor mission fill free."/>
    <x v="2"/>
    <x v="66"/>
    <x v="0"/>
    <x v="2"/>
    <x v="7"/>
  </r>
  <r>
    <x v="67"/>
    <d v="2025-07-06T02:18:19"/>
    <d v="2025-07-07T13:03:00"/>
    <x v="4"/>
    <x v="7"/>
    <s v="Can't connect to the Wi-Fi. It's showing 'No internet access'. Represent safe scene wall dog."/>
    <x v="1"/>
    <x v="67"/>
    <x v="6"/>
    <x v="2"/>
    <x v="21"/>
  </r>
  <r>
    <x v="68"/>
    <d v="2025-08-25T22:46:50"/>
    <d v="2025-08-29T05:16:59"/>
    <x v="1"/>
    <x v="5"/>
    <s v="Application X is crashing every time I open it. Claim success those baby."/>
    <x v="2"/>
    <x v="68"/>
    <x v="1"/>
    <x v="3"/>
    <x v="11"/>
  </r>
  <r>
    <x v="69"/>
    <d v="2025-09-07T00:30:29"/>
    <d v="2025-09-08T00:37:01"/>
    <x v="1"/>
    <x v="4"/>
    <s v="Application X is crashing every time I open it. Term lot their. Dark itself deal race Democrat."/>
    <x v="1"/>
    <x v="69"/>
    <x v="6"/>
    <x v="1"/>
    <x v="22"/>
  </r>
  <r>
    <x v="70"/>
    <d v="2025-07-21T21:58:21"/>
    <d v="2025-07-22T01:11:24"/>
    <x v="2"/>
    <x v="7"/>
    <s v="My laptop's keyboard isn't working properly, some keys are stuck. Bad past glass strategy. Above skin station."/>
    <x v="3"/>
    <x v="70"/>
    <x v="1"/>
    <x v="2"/>
    <x v="3"/>
  </r>
  <r>
    <x v="71"/>
    <d v="2025-07-24T12:55:27"/>
    <d v="2025-07-25T08:58:26"/>
    <x v="1"/>
    <x v="2"/>
    <s v="Application X is crashing every time I open it. Tv control generation away public remain."/>
    <x v="1"/>
    <x v="71"/>
    <x v="2"/>
    <x v="2"/>
    <x v="14"/>
  </r>
  <r>
    <x v="72"/>
    <d v="2025-06-18T07:42:24"/>
    <d v="2025-06-19T21:32:31"/>
    <x v="4"/>
    <x v="7"/>
    <s v="Can't connect to the Wi-Fi. It's showing 'No internet access'. Alone skill foot benefit."/>
    <x v="1"/>
    <x v="72"/>
    <x v="3"/>
    <x v="0"/>
    <x v="20"/>
  </r>
  <r>
    <x v="73"/>
    <d v="2025-09-03T02:34:13"/>
    <d v="2025-09-03T10:40:49"/>
    <x v="0"/>
    <x v="8"/>
    <s v="Media respond them indicate. Up movie television stop. Garden ten city already close."/>
    <x v="0"/>
    <x v="73"/>
    <x v="3"/>
    <x v="1"/>
    <x v="8"/>
  </r>
  <r>
    <x v="74"/>
    <d v="2025-08-08T23:17:56"/>
    <d v="2025-08-14T23:19:46"/>
    <x v="5"/>
    <x v="1"/>
    <s v="Lay support mouth control understand could. Husband for evening upon involve."/>
    <x v="2"/>
    <x v="74"/>
    <x v="0"/>
    <x v="3"/>
    <x v="2"/>
  </r>
  <r>
    <x v="75"/>
    <d v="2025-08-28T01:48:14"/>
    <d v="2025-08-28T09:40:58"/>
    <x v="0"/>
    <x v="7"/>
    <s v="Company month civil season include. Onto life for both little."/>
    <x v="0"/>
    <x v="75"/>
    <x v="2"/>
    <x v="3"/>
    <x v="5"/>
  </r>
  <r>
    <x v="76"/>
    <d v="2025-07-20T10:31:23"/>
    <d v="2025-07-20T14:11:12"/>
    <x v="1"/>
    <x v="1"/>
    <s v="Application X is crashing every time I open it. Candidate push mind exactly feel."/>
    <x v="0"/>
    <x v="76"/>
    <x v="6"/>
    <x v="2"/>
    <x v="6"/>
  </r>
  <r>
    <x v="77"/>
    <d v="2025-07-17T15:42:38"/>
    <d v="2025-07-17T22:40:18"/>
    <x v="5"/>
    <x v="5"/>
    <s v="Writer city suffer within important recently difference. Wait only relationship free."/>
    <x v="0"/>
    <x v="77"/>
    <x v="2"/>
    <x v="2"/>
    <x v="19"/>
  </r>
  <r>
    <x v="78"/>
    <d v="2025-07-23T19:59:04"/>
    <d v="2025-07-26T11:29:43"/>
    <x v="1"/>
    <x v="1"/>
    <s v="Application X is crashing every time I open it. Form customer bill interest remember which."/>
    <x v="2"/>
    <x v="78"/>
    <x v="3"/>
    <x v="2"/>
    <x v="15"/>
  </r>
  <r>
    <x v="79"/>
    <d v="2025-06-27T20:58:34"/>
    <d v="2025-07-01T20:08:25"/>
    <x v="4"/>
    <x v="1"/>
    <s v="Can't connect to the Wi-Fi. It's showing 'No internet access'. Agree begin guess ask choice low themselves born."/>
    <x v="2"/>
    <x v="79"/>
    <x v="0"/>
    <x v="0"/>
    <x v="7"/>
  </r>
  <r>
    <x v="80"/>
    <d v="2025-06-19T16:43:35"/>
    <d v="2025-06-25T22:32:38"/>
    <x v="1"/>
    <x v="6"/>
    <s v="Application X is crashing every time I open it. Center worry nor whole."/>
    <x v="2"/>
    <x v="80"/>
    <x v="2"/>
    <x v="0"/>
    <x v="19"/>
  </r>
  <r>
    <x v="81"/>
    <d v="2025-06-27T00:50:45"/>
    <d v="2025-07-01T10:00:38"/>
    <x v="3"/>
    <x v="3"/>
    <s v="I'm locked out of my account and can't reset my password. Miss son responsibility hour."/>
    <x v="2"/>
    <x v="81"/>
    <x v="0"/>
    <x v="0"/>
    <x v="8"/>
  </r>
  <r>
    <x v="82"/>
    <d v="2025-08-10T11:17:27"/>
    <d v="2025-08-12T08:21:18"/>
    <x v="1"/>
    <x v="1"/>
    <s v="Application X is crashing every time I open it. Develop course foreign no either."/>
    <x v="1"/>
    <x v="82"/>
    <x v="6"/>
    <x v="3"/>
    <x v="14"/>
  </r>
  <r>
    <x v="83"/>
    <d v="2025-07-29T01:49:12"/>
    <d v="2025-07-31T13:26:15"/>
    <x v="6"/>
    <x v="4"/>
    <s v="Public husband return country service very. Be exactly time firm yard price bad."/>
    <x v="2"/>
    <x v="83"/>
    <x v="5"/>
    <x v="2"/>
    <x v="21"/>
  </r>
  <r>
    <x v="84"/>
    <d v="2025-07-06T10:09:04"/>
    <d v="2025-07-11T00:20:43"/>
    <x v="2"/>
    <x v="9"/>
    <s v="My laptop's keyboard isn't working properly, some keys are stuck. Perform author more owner girl message."/>
    <x v="2"/>
    <x v="84"/>
    <x v="6"/>
    <x v="2"/>
    <x v="22"/>
  </r>
  <r>
    <x v="85"/>
    <d v="2025-07-30T04:23:34"/>
    <d v="2025-07-30T13:08:10"/>
    <x v="3"/>
    <x v="5"/>
    <s v="I'm locked out of my account and can't reset my password. Church stop environment."/>
    <x v="0"/>
    <x v="85"/>
    <x v="3"/>
    <x v="2"/>
    <x v="21"/>
  </r>
  <r>
    <x v="86"/>
    <d v="2025-08-23T05:18:39"/>
    <d v="2025-08-24T16:37:11"/>
    <x v="1"/>
    <x v="7"/>
    <s v="Application X is crashing every time I open it. Everyone body modern feeling shake loss."/>
    <x v="1"/>
    <x v="86"/>
    <x v="4"/>
    <x v="3"/>
    <x v="10"/>
  </r>
  <r>
    <x v="87"/>
    <d v="2025-07-10T03:11:23"/>
    <d v="2025-07-10T23:12:02"/>
    <x v="2"/>
    <x v="2"/>
    <s v="My laptop's keyboard isn't working properly, some keys are stuck. Whole material thus despite firm more."/>
    <x v="1"/>
    <x v="87"/>
    <x v="2"/>
    <x v="2"/>
    <x v="2"/>
  </r>
  <r>
    <x v="88"/>
    <d v="2025-09-12T18:58:40"/>
    <d v="2025-09-14T02:31:59"/>
    <x v="1"/>
    <x v="5"/>
    <s v="Application X is crashing every time I open it. Until statement century seat vote never."/>
    <x v="1"/>
    <x v="88"/>
    <x v="0"/>
    <x v="1"/>
    <x v="12"/>
  </r>
  <r>
    <x v="89"/>
    <d v="2025-09-02T15:20:46"/>
    <d v="2025-09-08T16:21:32"/>
    <x v="1"/>
    <x v="5"/>
    <s v="Application X is crashing every time I open it. Big season the."/>
    <x v="2"/>
    <x v="89"/>
    <x v="5"/>
    <x v="1"/>
    <x v="10"/>
  </r>
  <r>
    <x v="90"/>
    <d v="2025-07-12T12:04:37"/>
    <d v="2025-07-13T06:22:20"/>
    <x v="1"/>
    <x v="0"/>
    <s v="Application X is crashing every time I open it. Usually career attention realize."/>
    <x v="1"/>
    <x v="90"/>
    <x v="4"/>
    <x v="2"/>
    <x v="4"/>
  </r>
  <r>
    <x v="91"/>
    <d v="2025-08-06T04:36:43"/>
    <d v="2025-08-12T11:09:01"/>
    <x v="1"/>
    <x v="5"/>
    <s v="Application X is crashing every time I open it. Firm tonight statement feel Mrs music."/>
    <x v="2"/>
    <x v="91"/>
    <x v="3"/>
    <x v="3"/>
    <x v="15"/>
  </r>
  <r>
    <x v="92"/>
    <d v="2025-06-24T12:26:10"/>
    <d v="2025-06-26T10:49:37"/>
    <x v="4"/>
    <x v="3"/>
    <s v="Can't connect to the Wi-Fi. It's showing 'No internet access'. Life change act. Through imagine again whole."/>
    <x v="1"/>
    <x v="92"/>
    <x v="5"/>
    <x v="0"/>
    <x v="8"/>
  </r>
  <r>
    <x v="93"/>
    <d v="2025-06-25T21:27:43"/>
    <d v="2025-06-29T07:08:52"/>
    <x v="0"/>
    <x v="3"/>
    <s v="Including development attack wide. Concern his environment attack program rest team."/>
    <x v="2"/>
    <x v="93"/>
    <x v="3"/>
    <x v="0"/>
    <x v="1"/>
  </r>
  <r>
    <x v="94"/>
    <d v="2025-07-25T15:06:41"/>
    <d v="2025-07-30T00:43:14"/>
    <x v="3"/>
    <x v="7"/>
    <s v="I'm locked out of my account and can't reset my password. Another collection another many."/>
    <x v="2"/>
    <x v="94"/>
    <x v="0"/>
    <x v="2"/>
    <x v="22"/>
  </r>
  <r>
    <x v="95"/>
    <d v="2025-07-25T17:47:29"/>
    <d v="2025-07-26T21:49:20"/>
    <x v="0"/>
    <x v="0"/>
    <s v="Compare or at environmental. Six what them fall. Husband certain institution phone resource blood."/>
    <x v="1"/>
    <x v="95"/>
    <x v="0"/>
    <x v="2"/>
    <x v="20"/>
  </r>
  <r>
    <x v="96"/>
    <d v="2025-08-12T17:49:45"/>
    <d v="2025-08-14T13:34:20"/>
    <x v="3"/>
    <x v="4"/>
    <s v="I'm locked out of my account and can't reset my password. Medical let door front. Law end always."/>
    <x v="2"/>
    <x v="96"/>
    <x v="5"/>
    <x v="3"/>
    <x v="21"/>
  </r>
  <r>
    <x v="97"/>
    <d v="2025-07-25T21:16:19"/>
    <d v="2025-08-01T13:28:59"/>
    <x v="2"/>
    <x v="5"/>
    <s v="My laptop's keyboard isn't working properly, some keys are stuck. Rich fire power city. Water career next relate."/>
    <x v="2"/>
    <x v="97"/>
    <x v="0"/>
    <x v="2"/>
    <x v="21"/>
  </r>
  <r>
    <x v="98"/>
    <d v="2025-09-14T19:22:48"/>
    <d v="2025-09-14T22:26:30"/>
    <x v="1"/>
    <x v="1"/>
    <s v="Application X is crashing every time I open it. Result happy song want finish stuff."/>
    <x v="0"/>
    <x v="98"/>
    <x v="6"/>
    <x v="1"/>
    <x v="19"/>
  </r>
  <r>
    <x v="99"/>
    <d v="2025-07-31T00:15:23"/>
    <d v="2025-07-31T09:04:04"/>
    <x v="2"/>
    <x v="4"/>
    <s v="My laptop's keyboard isn't working properly, some keys are stuck. Themselves big matter happy small."/>
    <x v="1"/>
    <x v="99"/>
    <x v="2"/>
    <x v="2"/>
    <x v="5"/>
  </r>
  <r>
    <x v="100"/>
    <d v="2025-08-17T13:13:44"/>
    <d v="2025-08-17T15:17:50"/>
    <x v="1"/>
    <x v="5"/>
    <s v="Application X is crashing every time I open it. Agent will respond help."/>
    <x v="3"/>
    <x v="100"/>
    <x v="6"/>
    <x v="3"/>
    <x v="13"/>
  </r>
  <r>
    <x v="101"/>
    <d v="2025-09-11T12:55:11"/>
    <d v="2025-09-13T06:31:30"/>
    <x v="1"/>
    <x v="7"/>
    <s v="Application X is crashing every time I open it. Short commercial everybody difficult change."/>
    <x v="1"/>
    <x v="101"/>
    <x v="2"/>
    <x v="1"/>
    <x v="4"/>
  </r>
  <r>
    <x v="102"/>
    <d v="2025-07-01T08:49:20"/>
    <d v="2025-07-02T11:20:43"/>
    <x v="0"/>
    <x v="5"/>
    <s v="Any today within none hot again green. Remember attack event view father."/>
    <x v="2"/>
    <x v="102"/>
    <x v="5"/>
    <x v="2"/>
    <x v="15"/>
  </r>
  <r>
    <x v="103"/>
    <d v="2025-06-25T22:36:03"/>
    <d v="2025-06-26T09:59:45"/>
    <x v="1"/>
    <x v="9"/>
    <s v="Application X is crashing every time I open it. Represent senior his finish include nothing."/>
    <x v="1"/>
    <x v="103"/>
    <x v="3"/>
    <x v="0"/>
    <x v="5"/>
  </r>
  <r>
    <x v="104"/>
    <d v="2025-09-06T06:19:01"/>
    <d v="2025-09-06T10:36:27"/>
    <x v="6"/>
    <x v="9"/>
    <s v="She certain boy build. Test bag country president environment."/>
    <x v="0"/>
    <x v="104"/>
    <x v="4"/>
    <x v="1"/>
    <x v="8"/>
  </r>
  <r>
    <x v="105"/>
    <d v="2025-08-03T06:45:06"/>
    <d v="2025-08-05T16:41:24"/>
    <x v="4"/>
    <x v="8"/>
    <s v="Can't connect to the Wi-Fi. It's showing 'No internet access'. Hair job save son."/>
    <x v="2"/>
    <x v="105"/>
    <x v="6"/>
    <x v="3"/>
    <x v="10"/>
  </r>
  <r>
    <x v="106"/>
    <d v="2025-08-17T12:18:02"/>
    <d v="2025-08-18T18:29:37"/>
    <x v="6"/>
    <x v="2"/>
    <s v="Growth middle establish public."/>
    <x v="1"/>
    <x v="106"/>
    <x v="6"/>
    <x v="3"/>
    <x v="23"/>
  </r>
  <r>
    <x v="107"/>
    <d v="2025-07-28T14:54:12"/>
    <d v="2025-07-31T08:11:11"/>
    <x v="2"/>
    <x v="1"/>
    <s v="My laptop's keyboard isn't working properly, some keys are stuck. Produce require line letter listen often."/>
    <x v="2"/>
    <x v="107"/>
    <x v="1"/>
    <x v="2"/>
    <x v="14"/>
  </r>
  <r>
    <x v="108"/>
    <d v="2025-07-12T06:57:35"/>
    <d v="2025-07-12T11:56:19"/>
    <x v="2"/>
    <x v="2"/>
    <s v="My laptop's keyboard isn't working properly, some keys are stuck. At bag continue."/>
    <x v="0"/>
    <x v="108"/>
    <x v="4"/>
    <x v="2"/>
    <x v="15"/>
  </r>
  <r>
    <x v="109"/>
    <d v="2025-07-13T00:24:13"/>
    <d v="2025-07-19T22:24:35"/>
    <x v="1"/>
    <x v="2"/>
    <s v="Application X is crashing every time I open it. Without pass book tend."/>
    <x v="2"/>
    <x v="109"/>
    <x v="6"/>
    <x v="2"/>
    <x v="19"/>
  </r>
  <r>
    <x v="110"/>
    <d v="2025-07-14T05:56:24"/>
    <d v="2025-07-14T12:35:51"/>
    <x v="3"/>
    <x v="7"/>
    <s v="I'm locked out of my account and can't reset my password. Right where add."/>
    <x v="0"/>
    <x v="110"/>
    <x v="1"/>
    <x v="2"/>
    <x v="17"/>
  </r>
  <r>
    <x v="111"/>
    <d v="2025-08-28T11:29:55"/>
    <d v="2025-09-04T10:40:12"/>
    <x v="1"/>
    <x v="2"/>
    <s v="Application X is crashing every time I open it. Argue team senior low training."/>
    <x v="2"/>
    <x v="111"/>
    <x v="2"/>
    <x v="3"/>
    <x v="8"/>
  </r>
  <r>
    <x v="112"/>
    <d v="2025-08-28T08:02:11"/>
    <d v="2025-09-02T04:40:56"/>
    <x v="5"/>
    <x v="1"/>
    <s v="Plant attack should. Drive international today. Pretty statement her upon nation."/>
    <x v="2"/>
    <x v="112"/>
    <x v="2"/>
    <x v="3"/>
    <x v="16"/>
  </r>
  <r>
    <x v="113"/>
    <d v="2025-08-20T11:19:48"/>
    <d v="2025-08-20T13:31:35"/>
    <x v="2"/>
    <x v="3"/>
    <s v="My laptop's keyboard isn't working properly, some keys are stuck. Chance place build body population."/>
    <x v="0"/>
    <x v="113"/>
    <x v="3"/>
    <x v="3"/>
    <x v="21"/>
  </r>
  <r>
    <x v="114"/>
    <d v="2025-06-26T06:39:15"/>
    <d v="2025-06-26T21:07:28"/>
    <x v="0"/>
    <x v="4"/>
    <s v="Something million activity. Interview under cover career under. Can address show public."/>
    <x v="1"/>
    <x v="114"/>
    <x v="2"/>
    <x v="0"/>
    <x v="20"/>
  </r>
  <r>
    <x v="115"/>
    <d v="2025-09-04T00:02:17"/>
    <d v="2025-09-08T17:50:48"/>
    <x v="3"/>
    <x v="9"/>
    <s v="I'm locked out of my account and can't reset my password. Receive nature option oil read trouble."/>
    <x v="2"/>
    <x v="115"/>
    <x v="2"/>
    <x v="1"/>
    <x v="18"/>
  </r>
  <r>
    <x v="116"/>
    <d v="2025-07-14T03:29:18"/>
    <d v="2025-07-15T11:50:20"/>
    <x v="1"/>
    <x v="2"/>
    <s v="Application X is crashing every time I open it. Toward ago director condition food share meet."/>
    <x v="1"/>
    <x v="116"/>
    <x v="1"/>
    <x v="2"/>
    <x v="15"/>
  </r>
  <r>
    <x v="117"/>
    <d v="2025-07-24T06:40:03"/>
    <d v="2025-07-26T02:18:46"/>
    <x v="3"/>
    <x v="8"/>
    <s v="I'm locked out of my account and can't reset my password. For we when drive. Start identify now throw."/>
    <x v="1"/>
    <x v="117"/>
    <x v="2"/>
    <x v="2"/>
    <x v="12"/>
  </r>
  <r>
    <x v="118"/>
    <d v="2025-08-03T22:42:23"/>
    <d v="2025-08-10T12:59:57"/>
    <x v="6"/>
    <x v="5"/>
    <s v="Even focus animal civil quality lay skill. Need maybe former return."/>
    <x v="2"/>
    <x v="118"/>
    <x v="6"/>
    <x v="3"/>
    <x v="17"/>
  </r>
  <r>
    <x v="119"/>
    <d v="2025-07-12T00:15:34"/>
    <d v="2025-07-12T19:05:17"/>
    <x v="2"/>
    <x v="1"/>
    <s v="My laptop's keyboard isn't working properly, some keys are stuck. Cup money work certainly color."/>
    <x v="1"/>
    <x v="119"/>
    <x v="4"/>
    <x v="2"/>
    <x v="9"/>
  </r>
  <r>
    <x v="120"/>
    <d v="2025-07-19T13:02:22"/>
    <d v="2025-07-20T07:25:23"/>
    <x v="0"/>
    <x v="4"/>
    <s v="Clear late win beat. Those arm say year him science door."/>
    <x v="1"/>
    <x v="120"/>
    <x v="4"/>
    <x v="2"/>
    <x v="1"/>
  </r>
  <r>
    <x v="121"/>
    <d v="2025-06-29T20:08:30"/>
    <d v="2025-06-30T10:31:43"/>
    <x v="3"/>
    <x v="7"/>
    <s v="I'm locked out of my account and can't reset my password. Purpose almost nature create authority company."/>
    <x v="1"/>
    <x v="121"/>
    <x v="6"/>
    <x v="0"/>
    <x v="8"/>
  </r>
  <r>
    <x v="122"/>
    <d v="2025-07-29T14:50:17"/>
    <d v="2025-07-30T09:24:48"/>
    <x v="1"/>
    <x v="0"/>
    <s v="Application X is crashing every time I open it. Garden better chance impact where how member."/>
    <x v="1"/>
    <x v="122"/>
    <x v="5"/>
    <x v="2"/>
    <x v="5"/>
  </r>
  <r>
    <x v="123"/>
    <d v="2025-08-19T01:11:31"/>
    <d v="2025-08-20T19:06:33"/>
    <x v="4"/>
    <x v="1"/>
    <s v="Can't connect to the Wi-Fi. It's showing 'No internet access'. Bag without else red. Able year decision others."/>
    <x v="1"/>
    <x v="123"/>
    <x v="5"/>
    <x v="3"/>
    <x v="9"/>
  </r>
  <r>
    <x v="124"/>
    <d v="2025-06-25T06:03:59"/>
    <d v="2025-06-25T18:46:33"/>
    <x v="6"/>
    <x v="9"/>
    <s v="Police machine star. Computer lead control across blue eye force. Parent set professor sit couple."/>
    <x v="1"/>
    <x v="124"/>
    <x v="3"/>
    <x v="0"/>
    <x v="23"/>
  </r>
  <r>
    <x v="125"/>
    <d v="2025-08-02T18:27:58"/>
    <d v="2025-08-03T12:11:22"/>
    <x v="6"/>
    <x v="3"/>
    <s v="Group resource dinner knowledge scientist Mr. Police simply enter training too."/>
    <x v="1"/>
    <x v="125"/>
    <x v="4"/>
    <x v="3"/>
    <x v="17"/>
  </r>
  <r>
    <x v="126"/>
    <d v="2025-08-26T00:22:43"/>
    <d v="2025-08-29T23:04:42"/>
    <x v="2"/>
    <x v="5"/>
    <s v="My laptop's keyboard isn't working properly, some keys are stuck. Go wear understand relate."/>
    <x v="2"/>
    <x v="126"/>
    <x v="5"/>
    <x v="3"/>
    <x v="2"/>
  </r>
  <r>
    <x v="127"/>
    <d v="2025-07-17T15:23:19"/>
    <d v="2025-07-22T01:23:32"/>
    <x v="1"/>
    <x v="9"/>
    <s v="Application X is crashing every time I open it. Gas mother rate wind fight success medical."/>
    <x v="2"/>
    <x v="127"/>
    <x v="2"/>
    <x v="2"/>
    <x v="3"/>
  </r>
  <r>
    <x v="128"/>
    <d v="2025-09-09T17:02:08"/>
    <d v="2025-09-10T01:18:37"/>
    <x v="4"/>
    <x v="2"/>
    <s v="Can't connect to the Wi-Fi. It's showing 'No internet access'. These entire million eat play sit."/>
    <x v="0"/>
    <x v="128"/>
    <x v="5"/>
    <x v="1"/>
    <x v="3"/>
  </r>
  <r>
    <x v="129"/>
    <d v="2025-09-06T17:30:19"/>
    <d v="2025-09-08T16:09:05"/>
    <x v="0"/>
    <x v="1"/>
    <s v="Draw once season talk forward. Decision partner north realize finish one question."/>
    <x v="1"/>
    <x v="129"/>
    <x v="4"/>
    <x v="1"/>
    <x v="10"/>
  </r>
  <r>
    <x v="130"/>
    <d v="2025-09-10T20:54:16"/>
    <d v="2025-09-12T16:37:10"/>
    <x v="6"/>
    <x v="6"/>
    <s v="Catch travel form bar pretty himself team. Light suffer evidence land ok may guy."/>
    <x v="2"/>
    <x v="130"/>
    <x v="3"/>
    <x v="1"/>
    <x v="10"/>
  </r>
  <r>
    <x v="131"/>
    <d v="2025-08-10T12:29:53"/>
    <d v="2025-08-14T09:20:30"/>
    <x v="6"/>
    <x v="2"/>
    <s v="Act believe heavy watch best game part. Too language mean. Cut age personal resource."/>
    <x v="2"/>
    <x v="131"/>
    <x v="6"/>
    <x v="3"/>
    <x v="5"/>
  </r>
  <r>
    <x v="132"/>
    <d v="2025-09-07T02:38:17"/>
    <d v="2025-09-10T14:05:49"/>
    <x v="0"/>
    <x v="7"/>
    <s v="Year name message voice data. Protect word up today. Break drop already life."/>
    <x v="2"/>
    <x v="132"/>
    <x v="6"/>
    <x v="1"/>
    <x v="6"/>
  </r>
  <r>
    <x v="133"/>
    <d v="2025-07-21T07:07:14"/>
    <d v="2025-07-21T17:05:13"/>
    <x v="3"/>
    <x v="3"/>
    <s v="I'm locked out of my account and can't reset my password. Maintain tree story research hair why."/>
    <x v="0"/>
    <x v="133"/>
    <x v="1"/>
    <x v="2"/>
    <x v="18"/>
  </r>
  <r>
    <x v="134"/>
    <d v="2025-08-15T01:02:50"/>
    <d v="2025-08-22T00:38:38"/>
    <x v="0"/>
    <x v="5"/>
    <s v="Memory process group arm attack indicate mother. View three prepare by."/>
    <x v="2"/>
    <x v="134"/>
    <x v="0"/>
    <x v="3"/>
    <x v="22"/>
  </r>
  <r>
    <x v="135"/>
    <d v="2025-06-24T05:57:14"/>
    <d v="2025-06-29T00:46:12"/>
    <x v="5"/>
    <x v="6"/>
    <s v="Foreign sign be money cup raise keep. Right scene market."/>
    <x v="2"/>
    <x v="135"/>
    <x v="5"/>
    <x v="0"/>
    <x v="22"/>
  </r>
  <r>
    <x v="136"/>
    <d v="2025-09-14T17:50:13"/>
    <d v="2025-09-17T23:47:19"/>
    <x v="2"/>
    <x v="6"/>
    <s v="My laptop's keyboard isn't working properly, some keys are stuck. Certain six among before."/>
    <x v="2"/>
    <x v="136"/>
    <x v="6"/>
    <x v="1"/>
    <x v="2"/>
  </r>
  <r>
    <x v="137"/>
    <d v="2025-06-29T09:14:35"/>
    <d v="2025-06-30T23:16:51"/>
    <x v="2"/>
    <x v="1"/>
    <s v="My laptop's keyboard isn't working properly, some keys are stuck. Ago his against point garden drug."/>
    <x v="2"/>
    <x v="137"/>
    <x v="6"/>
    <x v="0"/>
    <x v="2"/>
  </r>
  <r>
    <x v="138"/>
    <d v="2025-08-19T13:22:46"/>
    <d v="2025-08-20T12:41:10"/>
    <x v="1"/>
    <x v="0"/>
    <s v="Application X is crashing every time I open it. Any state food citizen."/>
    <x v="1"/>
    <x v="138"/>
    <x v="5"/>
    <x v="3"/>
    <x v="17"/>
  </r>
  <r>
    <x v="139"/>
    <d v="2025-08-21T14:38:53"/>
    <d v="2025-08-27T10:24:43"/>
    <x v="4"/>
    <x v="6"/>
    <s v="Can't connect to the Wi-Fi. It's showing 'No internet access'. He particularly begin save area finally word."/>
    <x v="2"/>
    <x v="139"/>
    <x v="2"/>
    <x v="3"/>
    <x v="8"/>
  </r>
  <r>
    <x v="140"/>
    <d v="2025-08-05T10:58:02"/>
    <d v="2025-08-06T01:50:41"/>
    <x v="2"/>
    <x v="8"/>
    <s v="My laptop's keyboard isn't working properly, some keys are stuck. Serious simply mind cost movie actually."/>
    <x v="1"/>
    <x v="140"/>
    <x v="5"/>
    <x v="3"/>
    <x v="3"/>
  </r>
  <r>
    <x v="141"/>
    <d v="2025-08-18T10:22:03"/>
    <d v="2025-08-18T23:14:10"/>
    <x v="2"/>
    <x v="0"/>
    <s v="My laptop's keyboard isn't working properly, some keys are stuck. Social approach mother white."/>
    <x v="1"/>
    <x v="141"/>
    <x v="1"/>
    <x v="3"/>
    <x v="2"/>
  </r>
  <r>
    <x v="142"/>
    <d v="2025-09-13T16:20:39"/>
    <d v="2025-09-14T21:34:39"/>
    <x v="4"/>
    <x v="4"/>
    <s v="Can't connect to the Wi-Fi. It's showing 'No internet access'. Enter room up sound nature."/>
    <x v="1"/>
    <x v="142"/>
    <x v="4"/>
    <x v="1"/>
    <x v="20"/>
  </r>
  <r>
    <x v="143"/>
    <d v="2025-08-03T06:49:31"/>
    <d v="2025-08-06T22:49:37"/>
    <x v="2"/>
    <x v="3"/>
    <s v="My laptop's keyboard isn't working properly, some keys are stuck. Effort to since question."/>
    <x v="2"/>
    <x v="143"/>
    <x v="6"/>
    <x v="3"/>
    <x v="19"/>
  </r>
  <r>
    <x v="144"/>
    <d v="2025-06-27T03:04:20"/>
    <d v="2025-06-27T15:18:06"/>
    <x v="1"/>
    <x v="8"/>
    <s v="Application X is crashing every time I open it. These drive president building."/>
    <x v="1"/>
    <x v="144"/>
    <x v="0"/>
    <x v="0"/>
    <x v="13"/>
  </r>
  <r>
    <x v="145"/>
    <d v="2025-08-31T15:49:39"/>
    <d v="2025-08-31T17:50:14"/>
    <x v="6"/>
    <x v="3"/>
    <s v="Suddenly effort she without without."/>
    <x v="3"/>
    <x v="145"/>
    <x v="6"/>
    <x v="3"/>
    <x v="18"/>
  </r>
  <r>
    <x v="146"/>
    <d v="2025-06-24T11:03:22"/>
    <d v="2025-06-24T18:54:19"/>
    <x v="4"/>
    <x v="6"/>
    <s v="Can't connect to the Wi-Fi. It's showing 'No internet access'. Should that nation can difficult nice."/>
    <x v="0"/>
    <x v="146"/>
    <x v="5"/>
    <x v="0"/>
    <x v="23"/>
  </r>
  <r>
    <x v="147"/>
    <d v="2025-09-02T16:56:42"/>
    <d v="2025-09-06T05:01:09"/>
    <x v="5"/>
    <x v="3"/>
    <s v="Look scene real owner agent whose specific. Along they yourself character year or behind."/>
    <x v="2"/>
    <x v="147"/>
    <x v="5"/>
    <x v="1"/>
    <x v="11"/>
  </r>
  <r>
    <x v="148"/>
    <d v="2025-07-16T14:22:14"/>
    <d v="2025-07-17T16:50:12"/>
    <x v="0"/>
    <x v="7"/>
    <s v="You reflect radio. Especially speech wish interesting wife."/>
    <x v="1"/>
    <x v="148"/>
    <x v="3"/>
    <x v="2"/>
    <x v="10"/>
  </r>
  <r>
    <x v="149"/>
    <d v="2025-07-31T04:12:39"/>
    <d v="2025-08-01T04:13:25"/>
    <x v="2"/>
    <x v="0"/>
    <s v="My laptop's keyboard isn't working properly, some keys are stuck. Event pattern factor deep manager work."/>
    <x v="1"/>
    <x v="149"/>
    <x v="2"/>
    <x v="2"/>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FB5AF4-7CF3-4287-9DB0-D2D433B7ACF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9">
  <location ref="D15:F26" firstHeaderRow="0" firstDataRow="1" firstDataCol="1"/>
  <pivotFields count="11">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pivotField numFmtId="14" showAll="0"/>
    <pivotField showAll="0">
      <items count="8">
        <item x="3"/>
        <item x="6"/>
        <item x="2"/>
        <item x="4"/>
        <item x="0"/>
        <item x="5"/>
        <item x="1"/>
        <item t="default"/>
      </items>
    </pivotField>
    <pivotField axis="axisRow" showAll="0" sortType="descending">
      <items count="11">
        <item x="7"/>
        <item x="6"/>
        <item x="5"/>
        <item x="3"/>
        <item x="4"/>
        <item x="9"/>
        <item x="8"/>
        <item x="2"/>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dataField="1" numFmtId="2" showAll="0"/>
    <pivotField showAll="0">
      <items count="8">
        <item x="6"/>
        <item x="1"/>
        <item x="5"/>
        <item x="3"/>
        <item x="2"/>
        <item x="0"/>
        <item x="4"/>
        <item t="default"/>
      </items>
    </pivotField>
    <pivotField showAll="0">
      <items count="5">
        <item x="0"/>
        <item x="2"/>
        <item x="3"/>
        <item x="1"/>
        <item t="default"/>
      </items>
    </pivotField>
    <pivotField showAll="0">
      <items count="25">
        <item x="22"/>
        <item x="3"/>
        <item x="12"/>
        <item x="0"/>
        <item x="16"/>
        <item x="11"/>
        <item x="4"/>
        <item x="1"/>
        <item x="14"/>
        <item x="5"/>
        <item x="8"/>
        <item x="15"/>
        <item x="17"/>
        <item x="21"/>
        <item x="6"/>
        <item x="13"/>
        <item x="10"/>
        <item x="18"/>
        <item x="23"/>
        <item x="9"/>
        <item x="7"/>
        <item x="20"/>
        <item x="19"/>
        <item x="2"/>
        <item t="default"/>
      </items>
    </pivotField>
  </pivotFields>
  <rowFields count="1">
    <field x="4"/>
  </rowFields>
  <rowItems count="11">
    <i>
      <x v="1"/>
    </i>
    <i>
      <x v="2"/>
    </i>
    <i>
      <x v="7"/>
    </i>
    <i>
      <x v="5"/>
    </i>
    <i>
      <x v="3"/>
    </i>
    <i>
      <x v="8"/>
    </i>
    <i>
      <x/>
    </i>
    <i>
      <x v="4"/>
    </i>
    <i>
      <x v="6"/>
    </i>
    <i>
      <x v="9"/>
    </i>
    <i t="grand">
      <x/>
    </i>
  </rowItems>
  <colFields count="1">
    <field x="-2"/>
  </colFields>
  <colItems count="2">
    <i>
      <x/>
    </i>
    <i i="1">
      <x v="1"/>
    </i>
  </colItems>
  <dataFields count="2">
    <dataField name="Average of Resolution Time" fld="7" subtotal="average" baseField="4" baseItem="0" numFmtId="2"/>
    <dataField name="Count of ticket_id" fld="0" subtotal="count" baseField="0" baseItem="0"/>
  </dataFields>
  <chartFormats count="4">
    <chartFormat chart="88" format="4" series="1">
      <pivotArea type="data" outline="0" fieldPosition="0">
        <references count="1">
          <reference field="4294967294" count="1" selected="0">
            <x v="0"/>
          </reference>
        </references>
      </pivotArea>
    </chartFormat>
    <chartFormat chart="88" format="5" series="1">
      <pivotArea type="data" outline="0" fieldPosition="0">
        <references count="1">
          <reference field="4294967294" count="1" selected="0">
            <x v="1"/>
          </reference>
        </references>
      </pivotArea>
    </chartFormat>
    <chartFormat chart="106" format="14" series="1">
      <pivotArea type="data" outline="0" fieldPosition="0">
        <references count="1">
          <reference field="4294967294" count="1" selected="0">
            <x v="0"/>
          </reference>
        </references>
      </pivotArea>
    </chartFormat>
    <chartFormat chart="106"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C5B1AC-8EF7-4170-9085-FD20F63802A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G3:L12" firstHeaderRow="1" firstDataRow="2" firstDataCol="1"/>
  <pivotFields count="11">
    <pivotField showAll="0"/>
    <pivotField numFmtId="14" showAll="0"/>
    <pivotField numFmtId="14" showAll="0"/>
    <pivotField axis="axisRow"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axis="axisCol" showAll="0">
      <items count="5">
        <item x="3"/>
        <item x="0"/>
        <item x="2"/>
        <item x="1"/>
        <item t="default"/>
      </items>
    </pivotField>
    <pivotField dataField="1" numFmtId="2" showAll="0"/>
    <pivotField showAll="0">
      <items count="8">
        <item x="6"/>
        <item x="1"/>
        <item x="5"/>
        <item x="3"/>
        <item x="2"/>
        <item x="0"/>
        <item x="4"/>
        <item t="default"/>
      </items>
    </pivotField>
    <pivotField showAll="0">
      <items count="5">
        <item x="0"/>
        <item x="2"/>
        <item x="3"/>
        <item x="1"/>
        <item t="default"/>
      </items>
    </pivotField>
    <pivotField showAll="0">
      <items count="25">
        <item x="22"/>
        <item x="3"/>
        <item x="12"/>
        <item x="0"/>
        <item x="16"/>
        <item x="11"/>
        <item x="4"/>
        <item x="1"/>
        <item x="14"/>
        <item x="5"/>
        <item x="8"/>
        <item x="15"/>
        <item x="17"/>
        <item x="21"/>
        <item x="6"/>
        <item x="13"/>
        <item x="10"/>
        <item x="18"/>
        <item x="23"/>
        <item x="9"/>
        <item x="7"/>
        <item x="20"/>
        <item x="19"/>
        <item x="2"/>
        <item t="default"/>
      </items>
    </pivotField>
  </pivotFields>
  <rowFields count="1">
    <field x="3"/>
  </rowFields>
  <rowItems count="8">
    <i>
      <x/>
    </i>
    <i>
      <x v="1"/>
    </i>
    <i>
      <x v="2"/>
    </i>
    <i>
      <x v="3"/>
    </i>
    <i>
      <x v="4"/>
    </i>
    <i>
      <x v="5"/>
    </i>
    <i>
      <x v="6"/>
    </i>
    <i t="grand">
      <x/>
    </i>
  </rowItems>
  <colFields count="1">
    <field x="6"/>
  </colFields>
  <colItems count="5">
    <i>
      <x/>
    </i>
    <i>
      <x v="1"/>
    </i>
    <i>
      <x v="2"/>
    </i>
    <i>
      <x v="3"/>
    </i>
    <i t="grand">
      <x/>
    </i>
  </colItems>
  <dataFields count="1">
    <dataField name="Sum of Resolution Time" fld="7" baseField="0" baseItem="0" numFmtId="2"/>
  </dataFields>
  <chartFormats count="4">
    <chartFormat chart="79" format="16" series="1">
      <pivotArea type="data" outline="0" fieldPosition="0">
        <references count="2">
          <reference field="4294967294" count="1" selected="0">
            <x v="0"/>
          </reference>
          <reference field="6" count="1" selected="0">
            <x v="0"/>
          </reference>
        </references>
      </pivotArea>
    </chartFormat>
    <chartFormat chart="79" format="17" series="1">
      <pivotArea type="data" outline="0" fieldPosition="0">
        <references count="2">
          <reference field="4294967294" count="1" selected="0">
            <x v="0"/>
          </reference>
          <reference field="6" count="1" selected="0">
            <x v="1"/>
          </reference>
        </references>
      </pivotArea>
    </chartFormat>
    <chartFormat chart="79" format="18" series="1">
      <pivotArea type="data" outline="0" fieldPosition="0">
        <references count="2">
          <reference field="4294967294" count="1" selected="0">
            <x v="0"/>
          </reference>
          <reference field="6" count="1" selected="0">
            <x v="2"/>
          </reference>
        </references>
      </pivotArea>
    </chartFormat>
    <chartFormat chart="79" format="19"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4BD939-A8C7-4D07-9D96-778968AFB939}"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D3:E11" firstHeaderRow="1" firstDataRow="1" firstDataCol="1"/>
  <pivotFields count="11">
    <pivotField dataField="1" showAll="0"/>
    <pivotField numFmtId="14" showAll="0"/>
    <pivotField numFmtId="1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numFmtId="2" showAll="0"/>
    <pivotField axis="axisRow" showAll="0">
      <items count="8">
        <item x="6"/>
        <item x="1"/>
        <item x="5"/>
        <item x="3"/>
        <item x="2"/>
        <item x="0"/>
        <item x="4"/>
        <item t="default"/>
      </items>
    </pivotField>
    <pivotField showAll="0">
      <items count="5">
        <item x="0"/>
        <item x="2"/>
        <item x="3"/>
        <item x="1"/>
        <item t="default"/>
      </items>
    </pivotField>
    <pivotField showAll="0">
      <items count="25">
        <item x="22"/>
        <item x="3"/>
        <item x="12"/>
        <item x="0"/>
        <item x="16"/>
        <item x="11"/>
        <item x="4"/>
        <item x="1"/>
        <item x="14"/>
        <item x="5"/>
        <item x="8"/>
        <item x="15"/>
        <item x="17"/>
        <item x="21"/>
        <item x="6"/>
        <item x="13"/>
        <item x="10"/>
        <item x="18"/>
        <item x="23"/>
        <item x="9"/>
        <item x="7"/>
        <item x="20"/>
        <item x="19"/>
        <item x="2"/>
        <item t="default"/>
      </items>
    </pivotField>
  </pivotFields>
  <rowFields count="1">
    <field x="8"/>
  </rowFields>
  <rowItems count="8">
    <i>
      <x/>
    </i>
    <i>
      <x v="1"/>
    </i>
    <i>
      <x v="2"/>
    </i>
    <i>
      <x v="3"/>
    </i>
    <i>
      <x v="4"/>
    </i>
    <i>
      <x v="5"/>
    </i>
    <i>
      <x v="6"/>
    </i>
    <i t="grand">
      <x/>
    </i>
  </rowItems>
  <colItems count="1">
    <i/>
  </colItems>
  <dataFields count="1">
    <dataField name="Count of ticket_id" fld="0" subtotal="count" baseField="0" baseItem="0"/>
  </dataFields>
  <chartFormats count="8">
    <chartFormat chart="57" format="35" series="1">
      <pivotArea type="data" outline="0" fieldPosition="0">
        <references count="1">
          <reference field="4294967294" count="1" selected="0">
            <x v="0"/>
          </reference>
        </references>
      </pivotArea>
    </chartFormat>
    <chartFormat chart="57" format="36">
      <pivotArea type="data" outline="0" fieldPosition="0">
        <references count="2">
          <reference field="4294967294" count="1" selected="0">
            <x v="0"/>
          </reference>
          <reference field="8" count="1" selected="0">
            <x v="0"/>
          </reference>
        </references>
      </pivotArea>
    </chartFormat>
    <chartFormat chart="57" format="37">
      <pivotArea type="data" outline="0" fieldPosition="0">
        <references count="2">
          <reference field="4294967294" count="1" selected="0">
            <x v="0"/>
          </reference>
          <reference field="8" count="1" selected="0">
            <x v="1"/>
          </reference>
        </references>
      </pivotArea>
    </chartFormat>
    <chartFormat chart="57" format="38">
      <pivotArea type="data" outline="0" fieldPosition="0">
        <references count="2">
          <reference field="4294967294" count="1" selected="0">
            <x v="0"/>
          </reference>
          <reference field="8" count="1" selected="0">
            <x v="2"/>
          </reference>
        </references>
      </pivotArea>
    </chartFormat>
    <chartFormat chart="57" format="39">
      <pivotArea type="data" outline="0" fieldPosition="0">
        <references count="2">
          <reference field="4294967294" count="1" selected="0">
            <x v="0"/>
          </reference>
          <reference field="8" count="1" selected="0">
            <x v="3"/>
          </reference>
        </references>
      </pivotArea>
    </chartFormat>
    <chartFormat chart="57" format="40">
      <pivotArea type="data" outline="0" fieldPosition="0">
        <references count="2">
          <reference field="4294967294" count="1" selected="0">
            <x v="0"/>
          </reference>
          <reference field="8" count="1" selected="0">
            <x v="4"/>
          </reference>
        </references>
      </pivotArea>
    </chartFormat>
    <chartFormat chart="57" format="41">
      <pivotArea type="data" outline="0" fieldPosition="0">
        <references count="2">
          <reference field="4294967294" count="1" selected="0">
            <x v="0"/>
          </reference>
          <reference field="8" count="1" selected="0">
            <x v="5"/>
          </reference>
        </references>
      </pivotArea>
    </chartFormat>
    <chartFormat chart="57" format="42">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80ECDE-B7C4-4CE1-BC60-1E326841E1B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28" firstHeaderRow="1" firstDataRow="1" firstDataCol="1"/>
  <pivotFields count="11">
    <pivotField dataField="1" showAll="0"/>
    <pivotField numFmtId="14" showAll="0"/>
    <pivotField numFmtId="1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numFmtId="2" showAll="0"/>
    <pivotField showAll="0">
      <items count="8">
        <item x="6"/>
        <item x="1"/>
        <item x="5"/>
        <item x="3"/>
        <item x="2"/>
        <item x="0"/>
        <item x="4"/>
        <item t="default"/>
      </items>
    </pivotField>
    <pivotField showAll="0">
      <items count="5">
        <item x="0"/>
        <item x="2"/>
        <item x="3"/>
        <item x="1"/>
        <item t="default"/>
      </items>
    </pivotField>
    <pivotField axis="axisRow" showAll="0">
      <items count="25">
        <item x="22"/>
        <item x="3"/>
        <item x="12"/>
        <item x="0"/>
        <item x="16"/>
        <item x="11"/>
        <item x="4"/>
        <item x="1"/>
        <item x="14"/>
        <item x="5"/>
        <item x="8"/>
        <item x="15"/>
        <item x="17"/>
        <item x="21"/>
        <item x="6"/>
        <item x="13"/>
        <item x="10"/>
        <item x="18"/>
        <item x="23"/>
        <item x="9"/>
        <item x="7"/>
        <item x="20"/>
        <item x="19"/>
        <item x="2"/>
        <item t="default"/>
      </items>
    </pivotField>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ticket_id" fld="0" subtotal="count" baseField="0" baseItem="0"/>
  </dataFields>
  <chartFormats count="1">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411AFF-9A29-452D-918D-109D4C8CCAF2}" sourceName="category">
  <pivotTables>
    <pivotTable tabId="3" name="PivotTable4"/>
    <pivotTable tabId="3" name="PivotTable1"/>
    <pivotTable tabId="3" name="PivotTable2"/>
    <pivotTable tabId="3" name="PivotTable3"/>
  </pivotTables>
  <data>
    <tabular pivotCacheId="266162077">
      <items count="7">
        <i x="3" s="1"/>
        <i x="6" s="1"/>
        <i x="2" s="1"/>
        <i x="4"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436CDC1-9D24-499F-99C1-40E0EA4333CD}" sourceName="priority">
  <pivotTables>
    <pivotTable tabId="3" name="PivotTable4"/>
    <pivotTable tabId="3" name="PivotTable1"/>
    <pivotTable tabId="3" name="PivotTable2"/>
    <pivotTable tabId="3" name="PivotTable3"/>
  </pivotTables>
  <data>
    <tabular pivotCacheId="266162077">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79315C-ABC4-4CA3-9956-18B8A523CB60}" sourceName="Month">
  <pivotTables>
    <pivotTable tabId="3" name="PivotTable3"/>
    <pivotTable tabId="3" name="PivotTable1"/>
    <pivotTable tabId="3" name="PivotTable2"/>
    <pivotTable tabId="3" name="PivotTable4"/>
  </pivotTables>
  <data>
    <tabular pivotCacheId="26616207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A7910A2-CE08-4C36-B2E7-D865BE03F356}" cache="Slicer_category" caption="category" rowHeight="234950"/>
  <slicer name="priority 1" xr10:uid="{6900D4FD-560D-4111-9111-9FCD898D9C82}" cache="Slicer_priority" caption="priority" rowHeight="234950"/>
  <slicer name="Month 1" xr10:uid="{314F49E4-5E75-40BC-B47C-0570282F3111}"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E9C10C-3961-40ED-A90B-3A4D561D4AE2}" name="Table2" displayName="Table2" ref="A1:K151" totalsRowShown="0">
  <autoFilter ref="A1:K151" xr:uid="{A8E9C10C-3961-40ED-A90B-3A4D561D4AE2}"/>
  <tableColumns count="11">
    <tableColumn id="1" xr3:uid="{764B961F-3BD4-4EAE-8B15-3DFC74C6E0BD}" name="ticket_id"/>
    <tableColumn id="2" xr3:uid="{70A927B8-38A2-43D0-B060-41FDA89A5D35}" name="submission_date" dataDxfId="5"/>
    <tableColumn id="3" xr3:uid="{D582B3DF-5DE7-4D3E-B681-00E807FF3132}" name="resolution_date" dataDxfId="4"/>
    <tableColumn id="4" xr3:uid="{D2F7710B-BDC6-4567-A926-5483B082816F}" name="category"/>
    <tableColumn id="5" xr3:uid="{5FDD78E5-70D7-42CB-BBFD-2EB5A0B03B56}" name="assigned_analyst"/>
    <tableColumn id="6" xr3:uid="{BB3CCBCF-AAB5-4C41-8B9C-E2BDF17989E9}" name="description"/>
    <tableColumn id="7" xr3:uid="{9873BF06-104A-4BF3-ADF3-188684856016}" name="priority"/>
    <tableColumn id="13" xr3:uid="{E52CD960-02F2-459E-A966-D469FF5E2C5A}" name="Resolution Time" dataDxfId="3">
      <calculatedColumnFormula>(Table2[[#This Row],[resolution_date]]-Table2[[#This Row],[submission_date]])*24</calculatedColumnFormula>
    </tableColumn>
    <tableColumn id="14" xr3:uid="{82200D4A-57F9-46AB-B457-3370DBA48E3E}" name="Days of week" dataDxfId="2">
      <calculatedColumnFormula>TEXT(Table2[[#This Row],[submission_date]],"ddd")</calculatedColumnFormula>
    </tableColumn>
    <tableColumn id="16" xr3:uid="{3873BD40-DF7E-4581-AB84-AD25E0040759}" name="Month" dataDxfId="0">
      <calculatedColumnFormula>TEXT(Table2[[#This Row],[submission_date]],"mmm")</calculatedColumnFormula>
    </tableColumn>
    <tableColumn id="15" xr3:uid="{361DB7C6-23A6-4480-9595-CC578CC0EC6A}" name="Hours" dataDxfId="1">
      <calculatedColumnFormula>HOUR(Table2[[#This Row],[resolution_date]])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7958-2AC0-4325-9CBE-181BA7AC41ED}">
  <dimension ref="A1:G151"/>
  <sheetViews>
    <sheetView workbookViewId="0">
      <selection activeCell="J136" sqref="J136"/>
    </sheetView>
  </sheetViews>
  <sheetFormatPr defaultRowHeight="14.4" x14ac:dyDescent="0.3"/>
  <cols>
    <col min="1" max="1" width="11.33203125" bestFit="1" customWidth="1"/>
    <col min="2" max="2" width="14.6640625" bestFit="1" customWidth="1"/>
    <col min="5" max="5" width="14.77734375" bestFit="1" customWidth="1"/>
    <col min="6" max="6" width="97.88671875" bestFit="1" customWidth="1"/>
  </cols>
  <sheetData>
    <row r="1" spans="1:7" x14ac:dyDescent="0.3">
      <c r="A1" t="s">
        <v>0</v>
      </c>
      <c r="B1" t="s">
        <v>1</v>
      </c>
      <c r="C1" t="s">
        <v>2</v>
      </c>
      <c r="D1" t="s">
        <v>3</v>
      </c>
      <c r="E1" t="s">
        <v>4</v>
      </c>
      <c r="F1" t="s">
        <v>5</v>
      </c>
      <c r="G1" t="s">
        <v>6</v>
      </c>
    </row>
    <row r="2" spans="1:7" x14ac:dyDescent="0.3">
      <c r="A2" t="s">
        <v>7</v>
      </c>
      <c r="B2" s="1">
        <v>45835.941851550924</v>
      </c>
      <c r="C2" s="1">
        <v>45836.157414861111</v>
      </c>
      <c r="D2" t="s">
        <v>8</v>
      </c>
      <c r="E2" t="s">
        <v>9</v>
      </c>
      <c r="F2" t="s">
        <v>10</v>
      </c>
      <c r="G2" t="s">
        <v>11</v>
      </c>
    </row>
    <row r="3" spans="1:7" x14ac:dyDescent="0.3">
      <c r="A3" t="s">
        <v>12</v>
      </c>
      <c r="B3" s="1">
        <v>45901.811099571758</v>
      </c>
      <c r="C3" s="1">
        <v>45903.304233009258</v>
      </c>
      <c r="D3" t="s">
        <v>13</v>
      </c>
      <c r="E3" t="s">
        <v>14</v>
      </c>
      <c r="F3" t="s">
        <v>15</v>
      </c>
      <c r="G3" t="s">
        <v>16</v>
      </c>
    </row>
    <row r="4" spans="1:7" x14ac:dyDescent="0.3">
      <c r="A4" t="s">
        <v>17</v>
      </c>
      <c r="B4" s="1">
        <v>45904.397251620372</v>
      </c>
      <c r="C4" s="1">
        <v>45905.993478182871</v>
      </c>
      <c r="D4" t="s">
        <v>8</v>
      </c>
      <c r="E4" t="s">
        <v>18</v>
      </c>
      <c r="F4" t="s">
        <v>19</v>
      </c>
      <c r="G4" t="s">
        <v>16</v>
      </c>
    </row>
    <row r="5" spans="1:7" x14ac:dyDescent="0.3">
      <c r="A5" t="s">
        <v>20</v>
      </c>
      <c r="B5" s="1">
        <v>45866.74136521991</v>
      </c>
      <c r="C5" s="1">
        <v>45867.068278460647</v>
      </c>
      <c r="D5" t="s">
        <v>21</v>
      </c>
      <c r="E5" t="s">
        <v>22</v>
      </c>
      <c r="F5" t="s">
        <v>23</v>
      </c>
      <c r="G5" t="s">
        <v>11</v>
      </c>
    </row>
    <row r="6" spans="1:7" x14ac:dyDescent="0.3">
      <c r="A6" t="s">
        <v>24</v>
      </c>
      <c r="B6" s="1">
        <v>45903.907044259257</v>
      </c>
      <c r="C6" s="1">
        <v>45904.286888356481</v>
      </c>
      <c r="D6" t="s">
        <v>13</v>
      </c>
      <c r="E6" t="s">
        <v>25</v>
      </c>
      <c r="F6" t="s">
        <v>26</v>
      </c>
      <c r="G6" t="s">
        <v>11</v>
      </c>
    </row>
    <row r="7" spans="1:7" x14ac:dyDescent="0.3">
      <c r="A7" t="s">
        <v>27</v>
      </c>
      <c r="B7" s="1">
        <v>45873.856022060187</v>
      </c>
      <c r="C7" s="1">
        <v>45879.411592372686</v>
      </c>
      <c r="D7" t="s">
        <v>13</v>
      </c>
      <c r="E7" t="s">
        <v>18</v>
      </c>
      <c r="F7" t="s">
        <v>28</v>
      </c>
      <c r="G7" t="s">
        <v>29</v>
      </c>
    </row>
    <row r="8" spans="1:7" x14ac:dyDescent="0.3">
      <c r="A8" t="s">
        <v>30</v>
      </c>
      <c r="B8" s="1">
        <v>45891.443237013889</v>
      </c>
      <c r="C8" s="1">
        <v>45892.591544884257</v>
      </c>
      <c r="D8" t="s">
        <v>31</v>
      </c>
      <c r="E8" t="s">
        <v>32</v>
      </c>
      <c r="F8" t="s">
        <v>33</v>
      </c>
      <c r="G8" t="s">
        <v>29</v>
      </c>
    </row>
    <row r="9" spans="1:7" x14ac:dyDescent="0.3">
      <c r="A9" t="s">
        <v>34</v>
      </c>
      <c r="B9" s="1">
        <v>45843.321851516201</v>
      </c>
      <c r="C9" s="1">
        <v>45847.851614560182</v>
      </c>
      <c r="D9" t="s">
        <v>13</v>
      </c>
      <c r="E9" t="s">
        <v>35</v>
      </c>
      <c r="F9" t="s">
        <v>36</v>
      </c>
      <c r="G9" t="s">
        <v>29</v>
      </c>
    </row>
    <row r="10" spans="1:7" x14ac:dyDescent="0.3">
      <c r="A10" t="s">
        <v>37</v>
      </c>
      <c r="B10" s="1">
        <v>45845.695295972226</v>
      </c>
      <c r="C10" s="1">
        <v>45846.419769224536</v>
      </c>
      <c r="D10" t="s">
        <v>21</v>
      </c>
      <c r="E10" t="s">
        <v>35</v>
      </c>
      <c r="F10" t="s">
        <v>38</v>
      </c>
      <c r="G10" t="s">
        <v>16</v>
      </c>
    </row>
    <row r="11" spans="1:7" x14ac:dyDescent="0.3">
      <c r="A11" t="s">
        <v>39</v>
      </c>
      <c r="B11" s="1">
        <v>45910.617740428243</v>
      </c>
      <c r="C11" s="1">
        <v>45911.83237329861</v>
      </c>
      <c r="D11" t="s">
        <v>13</v>
      </c>
      <c r="E11" t="s">
        <v>18</v>
      </c>
      <c r="F11" t="s">
        <v>40</v>
      </c>
      <c r="G11" t="s">
        <v>16</v>
      </c>
    </row>
    <row r="12" spans="1:7" x14ac:dyDescent="0.3">
      <c r="A12" t="s">
        <v>41</v>
      </c>
      <c r="B12" s="1">
        <v>45896.555576689818</v>
      </c>
      <c r="C12" s="1">
        <v>45902.686473993053</v>
      </c>
      <c r="D12" t="s">
        <v>13</v>
      </c>
      <c r="E12" t="s">
        <v>42</v>
      </c>
      <c r="F12" t="s">
        <v>43</v>
      </c>
      <c r="G12" t="s">
        <v>29</v>
      </c>
    </row>
    <row r="13" spans="1:7" x14ac:dyDescent="0.3">
      <c r="A13" t="s">
        <v>44</v>
      </c>
      <c r="B13" s="1">
        <v>45832.080772222223</v>
      </c>
      <c r="C13" s="1">
        <v>45832.240656608796</v>
      </c>
      <c r="D13" t="s">
        <v>45</v>
      </c>
      <c r="E13" t="s">
        <v>46</v>
      </c>
      <c r="F13" t="s">
        <v>47</v>
      </c>
      <c r="G13" t="s">
        <v>11</v>
      </c>
    </row>
    <row r="14" spans="1:7" x14ac:dyDescent="0.3">
      <c r="A14" t="s">
        <v>48</v>
      </c>
      <c r="B14" s="1">
        <v>45836.410961250003</v>
      </c>
      <c r="C14" s="1">
        <v>45837.124087824071</v>
      </c>
      <c r="D14" t="s">
        <v>45</v>
      </c>
      <c r="E14" t="s">
        <v>9</v>
      </c>
      <c r="F14" t="s">
        <v>49</v>
      </c>
      <c r="G14" t="s">
        <v>16</v>
      </c>
    </row>
    <row r="15" spans="1:7" x14ac:dyDescent="0.3">
      <c r="A15" t="s">
        <v>50</v>
      </c>
      <c r="B15" s="1">
        <v>45860.381175960647</v>
      </c>
      <c r="C15" s="1">
        <v>45864.663007314812</v>
      </c>
      <c r="D15" t="s">
        <v>13</v>
      </c>
      <c r="E15" t="s">
        <v>35</v>
      </c>
      <c r="F15" t="s">
        <v>51</v>
      </c>
      <c r="G15" t="s">
        <v>29</v>
      </c>
    </row>
    <row r="16" spans="1:7" x14ac:dyDescent="0.3">
      <c r="A16" t="s">
        <v>52</v>
      </c>
      <c r="B16" s="1">
        <v>45847.939561203704</v>
      </c>
      <c r="C16" s="1">
        <v>45848.049673634261</v>
      </c>
      <c r="D16" t="s">
        <v>13</v>
      </c>
      <c r="E16" t="s">
        <v>14</v>
      </c>
      <c r="F16" t="s">
        <v>53</v>
      </c>
      <c r="G16" t="s">
        <v>11</v>
      </c>
    </row>
    <row r="17" spans="1:7" x14ac:dyDescent="0.3">
      <c r="A17" t="s">
        <v>54</v>
      </c>
      <c r="B17" s="1">
        <v>45861.940402638887</v>
      </c>
      <c r="C17" s="1">
        <v>45862.05557290509</v>
      </c>
      <c r="D17" t="s">
        <v>13</v>
      </c>
      <c r="E17" t="s">
        <v>55</v>
      </c>
      <c r="F17" t="s">
        <v>56</v>
      </c>
      <c r="G17" t="s">
        <v>11</v>
      </c>
    </row>
    <row r="18" spans="1:7" x14ac:dyDescent="0.3">
      <c r="A18" t="s">
        <v>57</v>
      </c>
      <c r="B18" s="1">
        <v>45875.49450458333</v>
      </c>
      <c r="C18" s="1">
        <v>45880.346445115742</v>
      </c>
      <c r="D18" t="s">
        <v>13</v>
      </c>
      <c r="E18" t="s">
        <v>35</v>
      </c>
      <c r="F18" t="s">
        <v>58</v>
      </c>
      <c r="G18" t="s">
        <v>29</v>
      </c>
    </row>
    <row r="19" spans="1:7" x14ac:dyDescent="0.3">
      <c r="A19" t="s">
        <v>59</v>
      </c>
      <c r="B19" s="1">
        <v>45838.695992071756</v>
      </c>
      <c r="C19" s="1">
        <v>45840.859242071761</v>
      </c>
      <c r="D19" t="s">
        <v>60</v>
      </c>
      <c r="E19" t="s">
        <v>9</v>
      </c>
      <c r="F19" t="s">
        <v>61</v>
      </c>
      <c r="G19" t="s">
        <v>29</v>
      </c>
    </row>
    <row r="20" spans="1:7" x14ac:dyDescent="0.3">
      <c r="A20" t="s">
        <v>62</v>
      </c>
      <c r="B20" s="1">
        <v>45838.960468067133</v>
      </c>
      <c r="C20" s="1">
        <v>45842.491957118058</v>
      </c>
      <c r="D20" t="s">
        <v>45</v>
      </c>
      <c r="E20" t="s">
        <v>22</v>
      </c>
      <c r="F20" t="s">
        <v>63</v>
      </c>
      <c r="G20" t="s">
        <v>29</v>
      </c>
    </row>
    <row r="21" spans="1:7" x14ac:dyDescent="0.3">
      <c r="A21" t="s">
        <v>64</v>
      </c>
      <c r="B21" s="1">
        <v>45841.310591307869</v>
      </c>
      <c r="C21" s="1">
        <v>45842.999058043984</v>
      </c>
      <c r="D21" t="s">
        <v>21</v>
      </c>
      <c r="E21" t="s">
        <v>22</v>
      </c>
      <c r="F21" t="s">
        <v>65</v>
      </c>
      <c r="G21" t="s">
        <v>16</v>
      </c>
    </row>
    <row r="22" spans="1:7" x14ac:dyDescent="0.3">
      <c r="A22" t="s">
        <v>66</v>
      </c>
      <c r="B22" s="1">
        <v>45831.951130162037</v>
      </c>
      <c r="C22" s="1">
        <v>45833.462965312501</v>
      </c>
      <c r="D22" t="s">
        <v>13</v>
      </c>
      <c r="E22" t="s">
        <v>14</v>
      </c>
      <c r="F22" t="s">
        <v>67</v>
      </c>
      <c r="G22" t="s">
        <v>16</v>
      </c>
    </row>
    <row r="23" spans="1:7" x14ac:dyDescent="0.3">
      <c r="A23" t="s">
        <v>68</v>
      </c>
      <c r="B23" s="1">
        <v>45846.482601527779</v>
      </c>
      <c r="C23" s="1">
        <v>45848.392504687501</v>
      </c>
      <c r="D23" t="s">
        <v>13</v>
      </c>
      <c r="E23" t="s">
        <v>9</v>
      </c>
      <c r="F23" t="s">
        <v>69</v>
      </c>
      <c r="G23" t="s">
        <v>16</v>
      </c>
    </row>
    <row r="24" spans="1:7" x14ac:dyDescent="0.3">
      <c r="A24" t="s">
        <v>70</v>
      </c>
      <c r="B24" s="1">
        <v>45830.978999976855</v>
      </c>
      <c r="C24" s="1">
        <v>45831.690442743056</v>
      </c>
      <c r="D24" t="s">
        <v>13</v>
      </c>
      <c r="E24" t="s">
        <v>42</v>
      </c>
      <c r="F24" t="s">
        <v>71</v>
      </c>
      <c r="G24" t="s">
        <v>16</v>
      </c>
    </row>
    <row r="25" spans="1:7" x14ac:dyDescent="0.3">
      <c r="A25" t="s">
        <v>72</v>
      </c>
      <c r="B25" s="1">
        <v>45898.519360115744</v>
      </c>
      <c r="C25" s="1">
        <v>45900.18315665509</v>
      </c>
      <c r="D25" t="s">
        <v>13</v>
      </c>
      <c r="E25" t="s">
        <v>25</v>
      </c>
      <c r="F25" t="s">
        <v>73</v>
      </c>
      <c r="G25" t="s">
        <v>16</v>
      </c>
    </row>
    <row r="26" spans="1:7" x14ac:dyDescent="0.3">
      <c r="A26" t="s">
        <v>74</v>
      </c>
      <c r="B26" s="1">
        <v>45850.151124652781</v>
      </c>
      <c r="C26" s="1">
        <v>45854.404572488427</v>
      </c>
      <c r="D26" t="s">
        <v>45</v>
      </c>
      <c r="E26" t="s">
        <v>22</v>
      </c>
      <c r="F26" t="s">
        <v>75</v>
      </c>
      <c r="G26" t="s">
        <v>29</v>
      </c>
    </row>
    <row r="27" spans="1:7" x14ac:dyDescent="0.3">
      <c r="A27" t="s">
        <v>76</v>
      </c>
      <c r="B27" s="1">
        <v>45851.238076643516</v>
      </c>
      <c r="C27" s="1">
        <v>45852.816654155089</v>
      </c>
      <c r="D27" t="s">
        <v>13</v>
      </c>
      <c r="E27" t="s">
        <v>14</v>
      </c>
      <c r="F27" t="s">
        <v>77</v>
      </c>
      <c r="G27" t="s">
        <v>16</v>
      </c>
    </row>
    <row r="28" spans="1:7" x14ac:dyDescent="0.3">
      <c r="A28" t="s">
        <v>78</v>
      </c>
      <c r="B28" s="1">
        <v>45832.01864923611</v>
      </c>
      <c r="C28" s="1">
        <v>45832.510323969909</v>
      </c>
      <c r="D28" t="s">
        <v>45</v>
      </c>
      <c r="E28" t="s">
        <v>25</v>
      </c>
      <c r="F28" t="s">
        <v>79</v>
      </c>
      <c r="G28" t="s">
        <v>11</v>
      </c>
    </row>
    <row r="29" spans="1:7" x14ac:dyDescent="0.3">
      <c r="A29" t="s">
        <v>80</v>
      </c>
      <c r="B29" s="1">
        <v>45841.81186765046</v>
      </c>
      <c r="C29" s="1">
        <v>45843.718911377313</v>
      </c>
      <c r="D29" t="s">
        <v>81</v>
      </c>
      <c r="E29" t="s">
        <v>14</v>
      </c>
      <c r="F29" t="s">
        <v>82</v>
      </c>
      <c r="G29" t="s">
        <v>16</v>
      </c>
    </row>
    <row r="30" spans="1:7" x14ac:dyDescent="0.3">
      <c r="A30" t="s">
        <v>83</v>
      </c>
      <c r="B30" s="1">
        <v>45915.543717083332</v>
      </c>
      <c r="C30" s="1">
        <v>45917.331455462961</v>
      </c>
      <c r="D30" t="s">
        <v>8</v>
      </c>
      <c r="E30" t="s">
        <v>9</v>
      </c>
      <c r="F30" t="s">
        <v>84</v>
      </c>
      <c r="G30" t="s">
        <v>29</v>
      </c>
    </row>
    <row r="31" spans="1:7" x14ac:dyDescent="0.3">
      <c r="A31" t="s">
        <v>85</v>
      </c>
      <c r="B31" s="1">
        <v>45896.914734548613</v>
      </c>
      <c r="C31" s="1">
        <v>45898.277047488424</v>
      </c>
      <c r="D31" t="s">
        <v>13</v>
      </c>
      <c r="E31" t="s">
        <v>18</v>
      </c>
      <c r="F31" t="s">
        <v>86</v>
      </c>
      <c r="G31" t="s">
        <v>16</v>
      </c>
    </row>
    <row r="32" spans="1:7" x14ac:dyDescent="0.3">
      <c r="A32" t="s">
        <v>87</v>
      </c>
      <c r="B32" s="1">
        <v>45899.845190624997</v>
      </c>
      <c r="C32" s="1">
        <v>45906.109850624998</v>
      </c>
      <c r="D32" t="s">
        <v>45</v>
      </c>
      <c r="E32" t="s">
        <v>18</v>
      </c>
      <c r="F32" t="s">
        <v>88</v>
      </c>
      <c r="G32" t="s">
        <v>29</v>
      </c>
    </row>
    <row r="33" spans="1:7" x14ac:dyDescent="0.3">
      <c r="A33" t="s">
        <v>89</v>
      </c>
      <c r="B33" s="1">
        <v>45893.999277337964</v>
      </c>
      <c r="C33" s="1">
        <v>45894.316192916667</v>
      </c>
      <c r="D33" t="s">
        <v>13</v>
      </c>
      <c r="E33" t="s">
        <v>14</v>
      </c>
      <c r="F33" t="s">
        <v>90</v>
      </c>
      <c r="G33" t="s">
        <v>11</v>
      </c>
    </row>
    <row r="34" spans="1:7" x14ac:dyDescent="0.3">
      <c r="A34" t="s">
        <v>91</v>
      </c>
      <c r="B34" s="1">
        <v>45849.75739244213</v>
      </c>
      <c r="C34" s="1">
        <v>45855.27821527778</v>
      </c>
      <c r="D34" t="s">
        <v>45</v>
      </c>
      <c r="E34" t="s">
        <v>35</v>
      </c>
      <c r="F34" t="s">
        <v>92</v>
      </c>
      <c r="G34" t="s">
        <v>29</v>
      </c>
    </row>
    <row r="35" spans="1:7" x14ac:dyDescent="0.3">
      <c r="A35" t="s">
        <v>93</v>
      </c>
      <c r="B35" s="1">
        <v>45904.814613437498</v>
      </c>
      <c r="C35" s="1">
        <v>45910.228323379626</v>
      </c>
      <c r="D35" t="s">
        <v>81</v>
      </c>
      <c r="E35" t="s">
        <v>32</v>
      </c>
      <c r="F35" t="s">
        <v>94</v>
      </c>
      <c r="G35" t="s">
        <v>29</v>
      </c>
    </row>
    <row r="36" spans="1:7" x14ac:dyDescent="0.3">
      <c r="A36" t="s">
        <v>95</v>
      </c>
      <c r="B36" s="1">
        <v>45893.712596354169</v>
      </c>
      <c r="C36" s="1">
        <v>45899.821769236114</v>
      </c>
      <c r="D36" t="s">
        <v>13</v>
      </c>
      <c r="E36" t="s">
        <v>25</v>
      </c>
      <c r="F36" t="s">
        <v>96</v>
      </c>
      <c r="G36" t="s">
        <v>29</v>
      </c>
    </row>
    <row r="37" spans="1:7" x14ac:dyDescent="0.3">
      <c r="A37" t="s">
        <v>97</v>
      </c>
      <c r="B37" s="1">
        <v>45838.741699282407</v>
      </c>
      <c r="C37" s="1">
        <v>45839.817210752313</v>
      </c>
      <c r="D37" t="s">
        <v>21</v>
      </c>
      <c r="E37" t="s">
        <v>14</v>
      </c>
      <c r="F37" t="s">
        <v>98</v>
      </c>
      <c r="G37" t="s">
        <v>29</v>
      </c>
    </row>
    <row r="38" spans="1:7" x14ac:dyDescent="0.3">
      <c r="A38" t="s">
        <v>99</v>
      </c>
      <c r="B38" s="1">
        <v>45909.36557869213</v>
      </c>
      <c r="C38" s="1">
        <v>45913.263069328706</v>
      </c>
      <c r="D38" t="s">
        <v>13</v>
      </c>
      <c r="E38" t="s">
        <v>46</v>
      </c>
      <c r="F38" t="s">
        <v>100</v>
      </c>
      <c r="G38" t="s">
        <v>29</v>
      </c>
    </row>
    <row r="39" spans="1:7" x14ac:dyDescent="0.3">
      <c r="A39" t="s">
        <v>101</v>
      </c>
      <c r="B39" s="1">
        <v>45880.455971180556</v>
      </c>
      <c r="C39" s="1">
        <v>45886.671748993052</v>
      </c>
      <c r="D39" t="s">
        <v>8</v>
      </c>
      <c r="E39" t="s">
        <v>42</v>
      </c>
      <c r="F39" t="s">
        <v>102</v>
      </c>
      <c r="G39" t="s">
        <v>29</v>
      </c>
    </row>
    <row r="40" spans="1:7" x14ac:dyDescent="0.3">
      <c r="A40" t="s">
        <v>103</v>
      </c>
      <c r="B40" s="1">
        <v>45901.680695057868</v>
      </c>
      <c r="C40" s="1">
        <v>45902.113242870371</v>
      </c>
      <c r="D40" t="s">
        <v>13</v>
      </c>
      <c r="E40" t="s">
        <v>32</v>
      </c>
      <c r="F40" t="s">
        <v>104</v>
      </c>
      <c r="G40" t="s">
        <v>16</v>
      </c>
    </row>
    <row r="41" spans="1:7" x14ac:dyDescent="0.3">
      <c r="A41" t="s">
        <v>105</v>
      </c>
      <c r="B41" s="1">
        <v>45883.854248391202</v>
      </c>
      <c r="C41" s="1">
        <v>45884.364103043983</v>
      </c>
      <c r="D41" t="s">
        <v>31</v>
      </c>
      <c r="E41" t="s">
        <v>35</v>
      </c>
      <c r="F41" t="s">
        <v>106</v>
      </c>
      <c r="G41" t="s">
        <v>16</v>
      </c>
    </row>
    <row r="42" spans="1:7" x14ac:dyDescent="0.3">
      <c r="A42" t="s">
        <v>107</v>
      </c>
      <c r="B42" s="1">
        <v>45905.24280886574</v>
      </c>
      <c r="C42" s="1">
        <v>45906.957953680554</v>
      </c>
      <c r="D42" t="s">
        <v>45</v>
      </c>
      <c r="E42" t="s">
        <v>9</v>
      </c>
      <c r="F42" t="s">
        <v>108</v>
      </c>
      <c r="G42" t="s">
        <v>16</v>
      </c>
    </row>
    <row r="43" spans="1:7" x14ac:dyDescent="0.3">
      <c r="A43" t="s">
        <v>109</v>
      </c>
      <c r="B43" s="1">
        <v>45913.768400347224</v>
      </c>
      <c r="C43" s="1">
        <v>45914.807395509262</v>
      </c>
      <c r="D43" t="s">
        <v>21</v>
      </c>
      <c r="E43" t="s">
        <v>14</v>
      </c>
      <c r="F43" t="s">
        <v>110</v>
      </c>
      <c r="G43" t="s">
        <v>29</v>
      </c>
    </row>
    <row r="44" spans="1:7" ht="28.8" x14ac:dyDescent="0.3">
      <c r="A44" t="s">
        <v>111</v>
      </c>
      <c r="B44" s="1">
        <v>45866.029443506945</v>
      </c>
      <c r="C44" s="1">
        <v>45872.45864300926</v>
      </c>
      <c r="D44" t="s">
        <v>81</v>
      </c>
      <c r="E44" t="s">
        <v>55</v>
      </c>
      <c r="F44" s="2" t="s">
        <v>112</v>
      </c>
      <c r="G44" t="s">
        <v>29</v>
      </c>
    </row>
    <row r="45" spans="1:7" x14ac:dyDescent="0.3">
      <c r="A45" t="s">
        <v>113</v>
      </c>
      <c r="B45" s="1">
        <v>45868.901072280096</v>
      </c>
      <c r="C45" s="1">
        <v>45868.96509607639</v>
      </c>
      <c r="D45" t="s">
        <v>13</v>
      </c>
      <c r="E45" t="s">
        <v>35</v>
      </c>
      <c r="F45" t="s">
        <v>114</v>
      </c>
      <c r="G45" t="s">
        <v>115</v>
      </c>
    </row>
    <row r="46" spans="1:7" x14ac:dyDescent="0.3">
      <c r="A46" t="s">
        <v>116</v>
      </c>
      <c r="B46" s="1">
        <v>45872.126770416668</v>
      </c>
      <c r="C46" s="1">
        <v>45872.29889071759</v>
      </c>
      <c r="D46" t="s">
        <v>21</v>
      </c>
      <c r="E46" t="s">
        <v>32</v>
      </c>
      <c r="F46" t="s">
        <v>117</v>
      </c>
      <c r="G46" t="s">
        <v>11</v>
      </c>
    </row>
    <row r="47" spans="1:7" x14ac:dyDescent="0.3">
      <c r="A47" t="s">
        <v>118</v>
      </c>
      <c r="B47" s="1">
        <v>45843.404094467594</v>
      </c>
      <c r="C47" s="1">
        <v>45843.878437824074</v>
      </c>
      <c r="D47" t="s">
        <v>13</v>
      </c>
      <c r="E47" t="s">
        <v>14</v>
      </c>
      <c r="F47" t="s">
        <v>119</v>
      </c>
      <c r="G47" t="s">
        <v>11</v>
      </c>
    </row>
    <row r="48" spans="1:7" x14ac:dyDescent="0.3">
      <c r="A48" t="s">
        <v>120</v>
      </c>
      <c r="B48" s="1">
        <v>45899.571593854169</v>
      </c>
      <c r="C48" s="1">
        <v>45901.48748614583</v>
      </c>
      <c r="D48" t="s">
        <v>45</v>
      </c>
      <c r="E48" t="s">
        <v>25</v>
      </c>
      <c r="F48" t="s">
        <v>121</v>
      </c>
      <c r="G48" t="s">
        <v>16</v>
      </c>
    </row>
    <row r="49" spans="1:7" x14ac:dyDescent="0.3">
      <c r="A49" t="s">
        <v>122</v>
      </c>
      <c r="B49" s="1">
        <v>45830.641442060187</v>
      </c>
      <c r="C49" s="1">
        <v>45835.539807534726</v>
      </c>
      <c r="D49" t="s">
        <v>31</v>
      </c>
      <c r="E49" t="s">
        <v>14</v>
      </c>
      <c r="F49" t="s">
        <v>123</v>
      </c>
      <c r="G49" t="s">
        <v>29</v>
      </c>
    </row>
    <row r="50" spans="1:7" x14ac:dyDescent="0.3">
      <c r="A50" t="s">
        <v>124</v>
      </c>
      <c r="B50" s="1">
        <v>45841.133833182874</v>
      </c>
      <c r="C50" s="1">
        <v>45841.652713553238</v>
      </c>
      <c r="D50" t="s">
        <v>45</v>
      </c>
      <c r="E50" t="s">
        <v>14</v>
      </c>
      <c r="F50" t="s">
        <v>125</v>
      </c>
      <c r="G50" t="s">
        <v>16</v>
      </c>
    </row>
    <row r="51" spans="1:7" x14ac:dyDescent="0.3">
      <c r="A51" t="s">
        <v>126</v>
      </c>
      <c r="B51" s="1">
        <v>45878.743972037038</v>
      </c>
      <c r="C51" s="1">
        <v>45879.856085624997</v>
      </c>
      <c r="D51" t="s">
        <v>45</v>
      </c>
      <c r="E51" t="s">
        <v>14</v>
      </c>
      <c r="F51" t="s">
        <v>127</v>
      </c>
      <c r="G51" t="s">
        <v>16</v>
      </c>
    </row>
    <row r="52" spans="1:7" x14ac:dyDescent="0.3">
      <c r="A52" t="s">
        <v>128</v>
      </c>
      <c r="B52" s="1">
        <v>45861.349098321756</v>
      </c>
      <c r="C52" s="1">
        <v>45865.965208310183</v>
      </c>
      <c r="D52" t="s">
        <v>8</v>
      </c>
      <c r="E52" t="s">
        <v>22</v>
      </c>
      <c r="F52" t="s">
        <v>129</v>
      </c>
      <c r="G52" t="s">
        <v>29</v>
      </c>
    </row>
    <row r="53" spans="1:7" x14ac:dyDescent="0.3">
      <c r="A53" t="s">
        <v>130</v>
      </c>
      <c r="B53" s="1">
        <v>45869.827586620369</v>
      </c>
      <c r="C53" s="1">
        <v>45876.059095208337</v>
      </c>
      <c r="D53" t="s">
        <v>13</v>
      </c>
      <c r="E53" t="s">
        <v>14</v>
      </c>
      <c r="F53" t="s">
        <v>131</v>
      </c>
      <c r="G53" t="s">
        <v>29</v>
      </c>
    </row>
    <row r="54" spans="1:7" x14ac:dyDescent="0.3">
      <c r="A54" t="s">
        <v>132</v>
      </c>
      <c r="B54" s="1">
        <v>45837.098491828707</v>
      </c>
      <c r="C54" s="1">
        <v>45837.72761415509</v>
      </c>
      <c r="D54" t="s">
        <v>13</v>
      </c>
      <c r="E54" t="s">
        <v>22</v>
      </c>
      <c r="F54" t="s">
        <v>133</v>
      </c>
      <c r="G54" t="s">
        <v>16</v>
      </c>
    </row>
    <row r="55" spans="1:7" x14ac:dyDescent="0.3">
      <c r="A55" t="s">
        <v>134</v>
      </c>
      <c r="B55" s="1">
        <v>45884.862366689813</v>
      </c>
      <c r="C55" s="1">
        <v>45885.412255208335</v>
      </c>
      <c r="D55" t="s">
        <v>13</v>
      </c>
      <c r="E55" t="s">
        <v>14</v>
      </c>
      <c r="F55" t="s">
        <v>135</v>
      </c>
      <c r="G55" t="s">
        <v>16</v>
      </c>
    </row>
    <row r="56" spans="1:7" x14ac:dyDescent="0.3">
      <c r="A56" t="s">
        <v>136</v>
      </c>
      <c r="B56" s="1">
        <v>45853.375071770832</v>
      </c>
      <c r="C56" s="1">
        <v>45853.793861516206</v>
      </c>
      <c r="D56" t="s">
        <v>45</v>
      </c>
      <c r="E56" t="s">
        <v>18</v>
      </c>
      <c r="F56" t="s">
        <v>137</v>
      </c>
      <c r="G56" t="s">
        <v>11</v>
      </c>
    </row>
    <row r="57" spans="1:7" x14ac:dyDescent="0.3">
      <c r="A57" t="s">
        <v>138</v>
      </c>
      <c r="B57" s="1">
        <v>45829.046392881944</v>
      </c>
      <c r="C57" s="1">
        <v>45830.741530185187</v>
      </c>
      <c r="D57" t="s">
        <v>31</v>
      </c>
      <c r="E57" t="s">
        <v>14</v>
      </c>
      <c r="F57" t="s">
        <v>139</v>
      </c>
      <c r="G57" t="s">
        <v>16</v>
      </c>
    </row>
    <row r="58" spans="1:7" x14ac:dyDescent="0.3">
      <c r="A58" t="s">
        <v>140</v>
      </c>
      <c r="B58" s="1">
        <v>45871.327925046295</v>
      </c>
      <c r="C58" s="1">
        <v>45872.603165902779</v>
      </c>
      <c r="D58" t="s">
        <v>8</v>
      </c>
      <c r="E58" t="s">
        <v>22</v>
      </c>
      <c r="F58" t="s">
        <v>141</v>
      </c>
      <c r="G58" t="s">
        <v>16</v>
      </c>
    </row>
    <row r="59" spans="1:7" x14ac:dyDescent="0.3">
      <c r="A59" t="s">
        <v>142</v>
      </c>
      <c r="B59" s="1">
        <v>45860.353873182874</v>
      </c>
      <c r="C59" s="1">
        <v>45867.28399974537</v>
      </c>
      <c r="D59" t="s">
        <v>60</v>
      </c>
      <c r="E59" t="s">
        <v>35</v>
      </c>
      <c r="F59" t="s">
        <v>143</v>
      </c>
      <c r="G59" t="s">
        <v>29</v>
      </c>
    </row>
    <row r="60" spans="1:7" x14ac:dyDescent="0.3">
      <c r="A60" t="s">
        <v>144</v>
      </c>
      <c r="B60" s="1">
        <v>45875.571420300927</v>
      </c>
      <c r="C60" s="1">
        <v>45877.303206296296</v>
      </c>
      <c r="D60" t="s">
        <v>8</v>
      </c>
      <c r="E60" t="s">
        <v>35</v>
      </c>
      <c r="F60" t="s">
        <v>145</v>
      </c>
      <c r="G60" t="s">
        <v>16</v>
      </c>
    </row>
    <row r="61" spans="1:7" x14ac:dyDescent="0.3">
      <c r="A61" t="s">
        <v>146</v>
      </c>
      <c r="B61" s="1">
        <v>45827.276196747684</v>
      </c>
      <c r="C61" s="1">
        <v>45828.595821400464</v>
      </c>
      <c r="D61" t="s">
        <v>13</v>
      </c>
      <c r="E61" t="s">
        <v>32</v>
      </c>
      <c r="F61" t="s">
        <v>147</v>
      </c>
      <c r="G61" t="s">
        <v>16</v>
      </c>
    </row>
    <row r="62" spans="1:7" x14ac:dyDescent="0.3">
      <c r="A62" t="s">
        <v>148</v>
      </c>
      <c r="B62" s="1">
        <v>45896.462244918985</v>
      </c>
      <c r="C62" s="1">
        <v>45897.49294236111</v>
      </c>
      <c r="D62" t="s">
        <v>21</v>
      </c>
      <c r="E62" t="s">
        <v>22</v>
      </c>
      <c r="F62" t="s">
        <v>149</v>
      </c>
      <c r="G62" t="s">
        <v>16</v>
      </c>
    </row>
    <row r="63" spans="1:7" x14ac:dyDescent="0.3">
      <c r="A63" t="s">
        <v>150</v>
      </c>
      <c r="B63" s="1">
        <v>45910.846970937499</v>
      </c>
      <c r="C63" s="1">
        <v>45912.419087835646</v>
      </c>
      <c r="D63" t="s">
        <v>13</v>
      </c>
      <c r="E63" t="s">
        <v>9</v>
      </c>
      <c r="F63" t="s">
        <v>151</v>
      </c>
      <c r="G63" t="s">
        <v>16</v>
      </c>
    </row>
    <row r="64" spans="1:7" x14ac:dyDescent="0.3">
      <c r="A64" t="s">
        <v>152</v>
      </c>
      <c r="B64" s="1">
        <v>45839.694215011572</v>
      </c>
      <c r="C64" s="1">
        <v>45840.681742858796</v>
      </c>
      <c r="D64" t="s">
        <v>13</v>
      </c>
      <c r="E64" t="s">
        <v>42</v>
      </c>
      <c r="F64" t="s">
        <v>153</v>
      </c>
      <c r="G64" t="s">
        <v>16</v>
      </c>
    </row>
    <row r="65" spans="1:7" x14ac:dyDescent="0.3">
      <c r="A65" t="s">
        <v>154</v>
      </c>
      <c r="B65" s="1">
        <v>45871.331352719906</v>
      </c>
      <c r="C65" s="1">
        <v>45871.66361797454</v>
      </c>
      <c r="D65" t="s">
        <v>31</v>
      </c>
      <c r="E65" t="s">
        <v>42</v>
      </c>
      <c r="F65" t="s">
        <v>155</v>
      </c>
      <c r="G65" t="s">
        <v>11</v>
      </c>
    </row>
    <row r="66" spans="1:7" x14ac:dyDescent="0.3">
      <c r="A66" t="s">
        <v>156</v>
      </c>
      <c r="B66" s="1">
        <v>45910.248753749998</v>
      </c>
      <c r="C66" s="1">
        <v>45910.584669618052</v>
      </c>
      <c r="D66" t="s">
        <v>31</v>
      </c>
      <c r="E66" t="s">
        <v>25</v>
      </c>
      <c r="F66" t="s">
        <v>157</v>
      </c>
      <c r="G66" t="s">
        <v>16</v>
      </c>
    </row>
    <row r="67" spans="1:7" x14ac:dyDescent="0.3">
      <c r="A67" t="s">
        <v>158</v>
      </c>
      <c r="B67" s="1">
        <v>45886.799485474534</v>
      </c>
      <c r="C67" s="1">
        <v>45887.413612974538</v>
      </c>
      <c r="D67" t="s">
        <v>45</v>
      </c>
      <c r="E67" t="s">
        <v>9</v>
      </c>
      <c r="F67" t="s">
        <v>159</v>
      </c>
      <c r="G67" t="s">
        <v>16</v>
      </c>
    </row>
    <row r="68" spans="1:7" x14ac:dyDescent="0.3">
      <c r="A68" t="s">
        <v>160</v>
      </c>
      <c r="B68" s="1">
        <v>45856.265250370372</v>
      </c>
      <c r="C68" s="1">
        <v>45861.837133449073</v>
      </c>
      <c r="D68" t="s">
        <v>21</v>
      </c>
      <c r="E68" t="s">
        <v>18</v>
      </c>
      <c r="F68" t="s">
        <v>161</v>
      </c>
      <c r="G68" t="s">
        <v>29</v>
      </c>
    </row>
    <row r="69" spans="1:7" x14ac:dyDescent="0.3">
      <c r="A69" t="s">
        <v>162</v>
      </c>
      <c r="B69" s="1">
        <v>45844.096052199071</v>
      </c>
      <c r="C69" s="1">
        <v>45845.543753993057</v>
      </c>
      <c r="D69" t="s">
        <v>45</v>
      </c>
      <c r="E69" t="s">
        <v>42</v>
      </c>
      <c r="F69" t="s">
        <v>163</v>
      </c>
      <c r="G69" t="s">
        <v>16</v>
      </c>
    </row>
    <row r="70" spans="1:7" x14ac:dyDescent="0.3">
      <c r="A70" t="s">
        <v>164</v>
      </c>
      <c r="B70" s="1">
        <v>45894.949184375</v>
      </c>
      <c r="C70" s="1">
        <v>45898.220131793983</v>
      </c>
      <c r="D70" t="s">
        <v>13</v>
      </c>
      <c r="E70" t="s">
        <v>32</v>
      </c>
      <c r="F70" t="s">
        <v>165</v>
      </c>
      <c r="G70" t="s">
        <v>29</v>
      </c>
    </row>
    <row r="71" spans="1:7" x14ac:dyDescent="0.3">
      <c r="A71" t="s">
        <v>166</v>
      </c>
      <c r="B71" s="1">
        <v>45907.021170486114</v>
      </c>
      <c r="C71" s="1">
        <v>45908.025708969908</v>
      </c>
      <c r="D71" t="s">
        <v>13</v>
      </c>
      <c r="E71" t="s">
        <v>25</v>
      </c>
      <c r="F71" t="s">
        <v>167</v>
      </c>
      <c r="G71" t="s">
        <v>16</v>
      </c>
    </row>
    <row r="72" spans="1:7" x14ac:dyDescent="0.3">
      <c r="A72" t="s">
        <v>168</v>
      </c>
      <c r="B72" s="1">
        <v>45859.915516805559</v>
      </c>
      <c r="C72" s="1">
        <v>45860.049579155093</v>
      </c>
      <c r="D72" t="s">
        <v>21</v>
      </c>
      <c r="E72" t="s">
        <v>42</v>
      </c>
      <c r="F72" t="s">
        <v>169</v>
      </c>
      <c r="G72" t="s">
        <v>115</v>
      </c>
    </row>
    <row r="73" spans="1:7" x14ac:dyDescent="0.3">
      <c r="A73" t="s">
        <v>170</v>
      </c>
      <c r="B73" s="1">
        <v>45862.538502326388</v>
      </c>
      <c r="C73" s="1">
        <v>45863.373908437497</v>
      </c>
      <c r="D73" t="s">
        <v>13</v>
      </c>
      <c r="E73" t="s">
        <v>18</v>
      </c>
      <c r="F73" t="s">
        <v>171</v>
      </c>
      <c r="G73" t="s">
        <v>16</v>
      </c>
    </row>
    <row r="74" spans="1:7" x14ac:dyDescent="0.3">
      <c r="A74" t="s">
        <v>172</v>
      </c>
      <c r="B74" s="1">
        <v>45826.321113136575</v>
      </c>
      <c r="C74" s="1">
        <v>45827.897584212966</v>
      </c>
      <c r="D74" t="s">
        <v>45</v>
      </c>
      <c r="E74" t="s">
        <v>42</v>
      </c>
      <c r="F74" t="s">
        <v>173</v>
      </c>
      <c r="G74" t="s">
        <v>16</v>
      </c>
    </row>
    <row r="75" spans="1:7" x14ac:dyDescent="0.3">
      <c r="A75" t="s">
        <v>174</v>
      </c>
      <c r="B75" s="1">
        <v>45903.107100034722</v>
      </c>
      <c r="C75" s="1">
        <v>45903.445007858798</v>
      </c>
      <c r="D75" t="s">
        <v>8</v>
      </c>
      <c r="E75" t="s">
        <v>46</v>
      </c>
      <c r="F75" t="s">
        <v>175</v>
      </c>
      <c r="G75" t="s">
        <v>11</v>
      </c>
    </row>
    <row r="76" spans="1:7" x14ac:dyDescent="0.3">
      <c r="A76" t="s">
        <v>176</v>
      </c>
      <c r="B76" s="1">
        <v>45877.970792118052</v>
      </c>
      <c r="C76" s="1">
        <v>45883.972063807872</v>
      </c>
      <c r="D76" t="s">
        <v>60</v>
      </c>
      <c r="E76" t="s">
        <v>14</v>
      </c>
      <c r="F76" t="s">
        <v>177</v>
      </c>
      <c r="G76" t="s">
        <v>29</v>
      </c>
    </row>
    <row r="77" spans="1:7" x14ac:dyDescent="0.3">
      <c r="A77" t="s">
        <v>178</v>
      </c>
      <c r="B77" s="1">
        <v>45897.075165682872</v>
      </c>
      <c r="C77" s="1">
        <v>45897.403448738427</v>
      </c>
      <c r="D77" t="s">
        <v>8</v>
      </c>
      <c r="E77" t="s">
        <v>42</v>
      </c>
      <c r="F77" t="s">
        <v>179</v>
      </c>
      <c r="G77" t="s">
        <v>11</v>
      </c>
    </row>
    <row r="78" spans="1:7" x14ac:dyDescent="0.3">
      <c r="A78" t="s">
        <v>180</v>
      </c>
      <c r="B78" s="1">
        <v>45858.438465046296</v>
      </c>
      <c r="C78" s="1">
        <v>45858.591115138886</v>
      </c>
      <c r="D78" t="s">
        <v>13</v>
      </c>
      <c r="E78" t="s">
        <v>14</v>
      </c>
      <c r="F78" t="s">
        <v>181</v>
      </c>
      <c r="G78" t="s">
        <v>11</v>
      </c>
    </row>
    <row r="79" spans="1:7" x14ac:dyDescent="0.3">
      <c r="A79" t="s">
        <v>182</v>
      </c>
      <c r="B79" s="1">
        <v>45855.654603726849</v>
      </c>
      <c r="C79" s="1">
        <v>45855.944653101855</v>
      </c>
      <c r="D79" t="s">
        <v>60</v>
      </c>
      <c r="E79" t="s">
        <v>32</v>
      </c>
      <c r="F79" t="s">
        <v>183</v>
      </c>
      <c r="G79" t="s">
        <v>11</v>
      </c>
    </row>
    <row r="80" spans="1:7" x14ac:dyDescent="0.3">
      <c r="A80" t="s">
        <v>184</v>
      </c>
      <c r="B80" s="1">
        <v>45861.832680300926</v>
      </c>
      <c r="C80" s="1">
        <v>45864.478965694441</v>
      </c>
      <c r="D80" t="s">
        <v>13</v>
      </c>
      <c r="E80" t="s">
        <v>14</v>
      </c>
      <c r="F80" t="s">
        <v>185</v>
      </c>
      <c r="G80" t="s">
        <v>29</v>
      </c>
    </row>
    <row r="81" spans="1:7" x14ac:dyDescent="0.3">
      <c r="A81" t="s">
        <v>186</v>
      </c>
      <c r="B81" s="1">
        <v>45835.874010046296</v>
      </c>
      <c r="C81" s="1">
        <v>45839.839174652778</v>
      </c>
      <c r="D81" t="s">
        <v>45</v>
      </c>
      <c r="E81" t="s">
        <v>14</v>
      </c>
      <c r="F81" t="s">
        <v>187</v>
      </c>
      <c r="G81" t="s">
        <v>29</v>
      </c>
    </row>
    <row r="82" spans="1:7" x14ac:dyDescent="0.3">
      <c r="A82" t="s">
        <v>188</v>
      </c>
      <c r="B82" s="1">
        <v>45827.696929745369</v>
      </c>
      <c r="C82" s="1">
        <v>45833.939332164351</v>
      </c>
      <c r="D82" t="s">
        <v>13</v>
      </c>
      <c r="E82" t="s">
        <v>35</v>
      </c>
      <c r="F82" t="s">
        <v>189</v>
      </c>
      <c r="G82" t="s">
        <v>29</v>
      </c>
    </row>
    <row r="83" spans="1:7" x14ac:dyDescent="0.3">
      <c r="A83" t="s">
        <v>190</v>
      </c>
      <c r="B83" s="1">
        <v>45835.035242280093</v>
      </c>
      <c r="C83" s="1">
        <v>45839.417101817133</v>
      </c>
      <c r="D83" t="s">
        <v>31</v>
      </c>
      <c r="E83" t="s">
        <v>22</v>
      </c>
      <c r="F83" t="s">
        <v>191</v>
      </c>
      <c r="G83" t="s">
        <v>29</v>
      </c>
    </row>
    <row r="84" spans="1:7" x14ac:dyDescent="0.3">
      <c r="A84" t="s">
        <v>192</v>
      </c>
      <c r="B84" s="1">
        <v>45879.470454189817</v>
      </c>
      <c r="C84" s="1">
        <v>45881.348121898147</v>
      </c>
      <c r="D84" t="s">
        <v>13</v>
      </c>
      <c r="E84" t="s">
        <v>14</v>
      </c>
      <c r="F84" t="s">
        <v>193</v>
      </c>
      <c r="G84" t="s">
        <v>16</v>
      </c>
    </row>
    <row r="85" spans="1:7" x14ac:dyDescent="0.3">
      <c r="A85" t="s">
        <v>194</v>
      </c>
      <c r="B85" s="1">
        <v>45867.075831828704</v>
      </c>
      <c r="C85" s="1">
        <v>45869.559900428241</v>
      </c>
      <c r="D85" t="s">
        <v>81</v>
      </c>
      <c r="E85" t="s">
        <v>25</v>
      </c>
      <c r="F85" t="s">
        <v>195</v>
      </c>
      <c r="G85" t="s">
        <v>29</v>
      </c>
    </row>
    <row r="86" spans="1:7" x14ac:dyDescent="0.3">
      <c r="A86" t="s">
        <v>196</v>
      </c>
      <c r="B86" s="1">
        <v>45844.422962789351</v>
      </c>
      <c r="C86" s="1">
        <v>45849.014388842596</v>
      </c>
      <c r="D86" t="s">
        <v>21</v>
      </c>
      <c r="E86" t="s">
        <v>55</v>
      </c>
      <c r="F86" t="s">
        <v>197</v>
      </c>
      <c r="G86" t="s">
        <v>29</v>
      </c>
    </row>
    <row r="87" spans="1:7" x14ac:dyDescent="0.3">
      <c r="A87" t="s">
        <v>198</v>
      </c>
      <c r="B87" s="1">
        <v>45868.183028981482</v>
      </c>
      <c r="C87" s="1">
        <v>45868.547340937497</v>
      </c>
      <c r="D87" t="s">
        <v>31</v>
      </c>
      <c r="E87" t="s">
        <v>32</v>
      </c>
      <c r="F87" t="s">
        <v>199</v>
      </c>
      <c r="G87" t="s">
        <v>11</v>
      </c>
    </row>
    <row r="88" spans="1:7" x14ac:dyDescent="0.3">
      <c r="A88" t="s">
        <v>200</v>
      </c>
      <c r="B88" s="1">
        <v>45892.221289976849</v>
      </c>
      <c r="C88" s="1">
        <v>45893.692486550928</v>
      </c>
      <c r="D88" t="s">
        <v>13</v>
      </c>
      <c r="E88" t="s">
        <v>42</v>
      </c>
      <c r="F88" t="s">
        <v>201</v>
      </c>
      <c r="G88" t="s">
        <v>16</v>
      </c>
    </row>
    <row r="89" spans="1:7" x14ac:dyDescent="0.3">
      <c r="A89" t="s">
        <v>202</v>
      </c>
      <c r="B89" s="1">
        <v>45848.132901874997</v>
      </c>
      <c r="C89" s="1">
        <v>45848.966689872686</v>
      </c>
      <c r="D89" t="s">
        <v>21</v>
      </c>
      <c r="E89" t="s">
        <v>18</v>
      </c>
      <c r="F89" t="s">
        <v>203</v>
      </c>
      <c r="G89" t="s">
        <v>16</v>
      </c>
    </row>
    <row r="90" spans="1:7" x14ac:dyDescent="0.3">
      <c r="A90" t="s">
        <v>204</v>
      </c>
      <c r="B90" s="1">
        <v>45912.790745324077</v>
      </c>
      <c r="C90" s="1">
        <v>45914.105542256948</v>
      </c>
      <c r="D90" t="s">
        <v>13</v>
      </c>
      <c r="E90" t="s">
        <v>32</v>
      </c>
      <c r="F90" t="s">
        <v>205</v>
      </c>
      <c r="G90" t="s">
        <v>16</v>
      </c>
    </row>
    <row r="91" spans="1:7" x14ac:dyDescent="0.3">
      <c r="A91" t="s">
        <v>206</v>
      </c>
      <c r="B91" s="1">
        <v>45902.639425532405</v>
      </c>
      <c r="C91" s="1">
        <v>45908.681624143515</v>
      </c>
      <c r="D91" t="s">
        <v>13</v>
      </c>
      <c r="E91" t="s">
        <v>32</v>
      </c>
      <c r="F91" t="s">
        <v>207</v>
      </c>
      <c r="G91" t="s">
        <v>29</v>
      </c>
    </row>
    <row r="92" spans="1:7" x14ac:dyDescent="0.3">
      <c r="A92" t="s">
        <v>208</v>
      </c>
      <c r="B92" s="1">
        <v>45850.503205740744</v>
      </c>
      <c r="C92" s="1">
        <v>45851.26551005787</v>
      </c>
      <c r="D92" t="s">
        <v>13</v>
      </c>
      <c r="E92" t="s">
        <v>9</v>
      </c>
      <c r="F92" t="s">
        <v>209</v>
      </c>
      <c r="G92" t="s">
        <v>16</v>
      </c>
    </row>
    <row r="93" spans="1:7" x14ac:dyDescent="0.3">
      <c r="A93" t="s">
        <v>210</v>
      </c>
      <c r="B93" s="1">
        <v>45875.192167974536</v>
      </c>
      <c r="C93" s="1">
        <v>45881.464590856478</v>
      </c>
      <c r="D93" t="s">
        <v>13</v>
      </c>
      <c r="E93" t="s">
        <v>32</v>
      </c>
      <c r="F93" t="s">
        <v>211</v>
      </c>
      <c r="G93" t="s">
        <v>29</v>
      </c>
    </row>
    <row r="94" spans="1:7" x14ac:dyDescent="0.3">
      <c r="A94" t="s">
        <v>212</v>
      </c>
      <c r="B94" s="1">
        <v>45832.518167638889</v>
      </c>
      <c r="C94" s="1">
        <v>45834.451125613428</v>
      </c>
      <c r="D94" t="s">
        <v>45</v>
      </c>
      <c r="E94" t="s">
        <v>22</v>
      </c>
      <c r="F94" t="s">
        <v>213</v>
      </c>
      <c r="G94" t="s">
        <v>16</v>
      </c>
    </row>
    <row r="95" spans="1:7" x14ac:dyDescent="0.3">
      <c r="A95" t="s">
        <v>214</v>
      </c>
      <c r="B95" s="1">
        <v>45833.894249444442</v>
      </c>
      <c r="C95" s="1">
        <v>45837.297820671294</v>
      </c>
      <c r="D95" t="s">
        <v>8</v>
      </c>
      <c r="E95" t="s">
        <v>22</v>
      </c>
      <c r="F95" t="s">
        <v>215</v>
      </c>
      <c r="G95" t="s">
        <v>29</v>
      </c>
    </row>
    <row r="96" spans="1:7" x14ac:dyDescent="0.3">
      <c r="A96" t="s">
        <v>216</v>
      </c>
      <c r="B96" s="1">
        <v>45863.629643032407</v>
      </c>
      <c r="C96" s="1">
        <v>45868.030028715279</v>
      </c>
      <c r="D96" t="s">
        <v>31</v>
      </c>
      <c r="E96" t="s">
        <v>42</v>
      </c>
      <c r="F96" t="s">
        <v>217</v>
      </c>
      <c r="G96" t="s">
        <v>29</v>
      </c>
    </row>
    <row r="97" spans="1:7" x14ac:dyDescent="0.3">
      <c r="A97" t="s">
        <v>218</v>
      </c>
      <c r="B97" s="1">
        <v>45863.74130209491</v>
      </c>
      <c r="C97" s="1">
        <v>45864.909261319444</v>
      </c>
      <c r="D97" t="s">
        <v>8</v>
      </c>
      <c r="E97" t="s">
        <v>9</v>
      </c>
      <c r="F97" t="s">
        <v>219</v>
      </c>
      <c r="G97" t="s">
        <v>16</v>
      </c>
    </row>
    <row r="98" spans="1:7" x14ac:dyDescent="0.3">
      <c r="A98" t="s">
        <v>220</v>
      </c>
      <c r="B98" s="1">
        <v>45881.742879791665</v>
      </c>
      <c r="C98" s="1">
        <v>45883.565504467595</v>
      </c>
      <c r="D98" t="s">
        <v>31</v>
      </c>
      <c r="E98" t="s">
        <v>25</v>
      </c>
      <c r="F98" t="s">
        <v>221</v>
      </c>
      <c r="G98" t="s">
        <v>29</v>
      </c>
    </row>
    <row r="99" spans="1:7" x14ac:dyDescent="0.3">
      <c r="A99" t="s">
        <v>222</v>
      </c>
      <c r="B99" s="1">
        <v>45863.88633465278</v>
      </c>
      <c r="C99" s="1">
        <v>45870.561789224535</v>
      </c>
      <c r="D99" t="s">
        <v>21</v>
      </c>
      <c r="E99" t="s">
        <v>32</v>
      </c>
      <c r="F99" t="s">
        <v>223</v>
      </c>
      <c r="G99" t="s">
        <v>29</v>
      </c>
    </row>
    <row r="100" spans="1:7" x14ac:dyDescent="0.3">
      <c r="A100" t="s">
        <v>224</v>
      </c>
      <c r="B100" s="1">
        <v>45914.807502268515</v>
      </c>
      <c r="C100" s="1">
        <v>45914.935071701388</v>
      </c>
      <c r="D100" t="s">
        <v>13</v>
      </c>
      <c r="E100" t="s">
        <v>14</v>
      </c>
      <c r="F100" t="s">
        <v>225</v>
      </c>
      <c r="G100" t="s">
        <v>11</v>
      </c>
    </row>
    <row r="101" spans="1:7" x14ac:dyDescent="0.3">
      <c r="A101" t="s">
        <v>226</v>
      </c>
      <c r="B101" s="1">
        <v>45869.010687291666</v>
      </c>
      <c r="C101" s="1">
        <v>45869.377826099539</v>
      </c>
      <c r="D101" t="s">
        <v>21</v>
      </c>
      <c r="E101" t="s">
        <v>25</v>
      </c>
      <c r="F101" t="s">
        <v>227</v>
      </c>
      <c r="G101" t="s">
        <v>16</v>
      </c>
    </row>
    <row r="102" spans="1:7" x14ac:dyDescent="0.3">
      <c r="A102" t="s">
        <v>228</v>
      </c>
      <c r="B102" s="1">
        <v>45886.551199293979</v>
      </c>
      <c r="C102" s="1">
        <v>45886.637387997682</v>
      </c>
      <c r="D102" t="s">
        <v>13</v>
      </c>
      <c r="E102" t="s">
        <v>32</v>
      </c>
      <c r="F102" t="s">
        <v>229</v>
      </c>
      <c r="G102" t="s">
        <v>115</v>
      </c>
    </row>
    <row r="103" spans="1:7" x14ac:dyDescent="0.3">
      <c r="A103" t="s">
        <v>230</v>
      </c>
      <c r="B103" s="1">
        <v>45911.538317349536</v>
      </c>
      <c r="C103" s="1">
        <v>45913.271872893522</v>
      </c>
      <c r="D103" t="s">
        <v>13</v>
      </c>
      <c r="E103" t="s">
        <v>42</v>
      </c>
      <c r="F103" t="s">
        <v>231</v>
      </c>
      <c r="G103" t="s">
        <v>16</v>
      </c>
    </row>
    <row r="104" spans="1:7" x14ac:dyDescent="0.3">
      <c r="A104" t="s">
        <v>232</v>
      </c>
      <c r="B104" s="1">
        <v>45839.36759386574</v>
      </c>
      <c r="C104" s="1">
        <v>45840.472722094906</v>
      </c>
      <c r="D104" t="s">
        <v>8</v>
      </c>
      <c r="E104" t="s">
        <v>32</v>
      </c>
      <c r="F104" t="s">
        <v>233</v>
      </c>
      <c r="G104" t="s">
        <v>29</v>
      </c>
    </row>
    <row r="105" spans="1:7" x14ac:dyDescent="0.3">
      <c r="A105" t="s">
        <v>234</v>
      </c>
      <c r="B105" s="1">
        <v>45833.941698634262</v>
      </c>
      <c r="C105" s="1">
        <v>45834.416492488424</v>
      </c>
      <c r="D105" t="s">
        <v>13</v>
      </c>
      <c r="E105" t="s">
        <v>55</v>
      </c>
      <c r="F105" t="s">
        <v>235</v>
      </c>
      <c r="G105" t="s">
        <v>16</v>
      </c>
    </row>
    <row r="106" spans="1:7" x14ac:dyDescent="0.3">
      <c r="A106" t="s">
        <v>236</v>
      </c>
      <c r="B106" s="1">
        <v>45906.263209618053</v>
      </c>
      <c r="C106" s="1">
        <v>45906.441982453704</v>
      </c>
      <c r="D106" t="s">
        <v>81</v>
      </c>
      <c r="E106" t="s">
        <v>55</v>
      </c>
      <c r="F106" t="s">
        <v>237</v>
      </c>
      <c r="G106" t="s">
        <v>11</v>
      </c>
    </row>
    <row r="107" spans="1:7" x14ac:dyDescent="0.3">
      <c r="A107" t="s">
        <v>238</v>
      </c>
      <c r="B107" s="1">
        <v>45872.281321724535</v>
      </c>
      <c r="C107" s="1">
        <v>45874.695412037036</v>
      </c>
      <c r="D107" t="s">
        <v>45</v>
      </c>
      <c r="E107" t="s">
        <v>46</v>
      </c>
      <c r="F107" t="s">
        <v>239</v>
      </c>
      <c r="G107" t="s">
        <v>29</v>
      </c>
    </row>
    <row r="108" spans="1:7" x14ac:dyDescent="0.3">
      <c r="A108" t="s">
        <v>240</v>
      </c>
      <c r="B108" s="1">
        <v>45886.512519641205</v>
      </c>
      <c r="C108" s="1">
        <v>45887.770572569447</v>
      </c>
      <c r="D108" t="s">
        <v>81</v>
      </c>
      <c r="E108" t="s">
        <v>18</v>
      </c>
      <c r="F108" t="s">
        <v>241</v>
      </c>
      <c r="G108" t="s">
        <v>16</v>
      </c>
    </row>
    <row r="109" spans="1:7" x14ac:dyDescent="0.3">
      <c r="A109" t="s">
        <v>242</v>
      </c>
      <c r="B109" s="1">
        <v>45866.620971516204</v>
      </c>
      <c r="C109" s="1">
        <v>45869.341103599538</v>
      </c>
      <c r="D109" t="s">
        <v>21</v>
      </c>
      <c r="E109" t="s">
        <v>14</v>
      </c>
      <c r="F109" t="s">
        <v>243</v>
      </c>
      <c r="G109" t="s">
        <v>29</v>
      </c>
    </row>
    <row r="110" spans="1:7" x14ac:dyDescent="0.3">
      <c r="A110" t="s">
        <v>244</v>
      </c>
      <c r="B110" s="1">
        <v>45850.289993865743</v>
      </c>
      <c r="C110" s="1">
        <v>45850.497444108798</v>
      </c>
      <c r="D110" t="s">
        <v>21</v>
      </c>
      <c r="E110" t="s">
        <v>18</v>
      </c>
      <c r="F110" t="s">
        <v>245</v>
      </c>
      <c r="G110" t="s">
        <v>11</v>
      </c>
    </row>
    <row r="111" spans="1:7" x14ac:dyDescent="0.3">
      <c r="A111" t="s">
        <v>246</v>
      </c>
      <c r="B111" s="1">
        <v>45851.016814189818</v>
      </c>
      <c r="C111" s="1">
        <v>45857.933740289351</v>
      </c>
      <c r="D111" t="s">
        <v>13</v>
      </c>
      <c r="E111" t="s">
        <v>18</v>
      </c>
      <c r="F111" t="s">
        <v>247</v>
      </c>
      <c r="G111" t="s">
        <v>29</v>
      </c>
    </row>
    <row r="112" spans="1:7" x14ac:dyDescent="0.3">
      <c r="A112" t="s">
        <v>248</v>
      </c>
      <c r="B112" s="1">
        <v>45852.247494618059</v>
      </c>
      <c r="C112" s="1">
        <v>45852.52489966435</v>
      </c>
      <c r="D112" t="s">
        <v>31</v>
      </c>
      <c r="E112" t="s">
        <v>42</v>
      </c>
      <c r="F112" t="s">
        <v>249</v>
      </c>
      <c r="G112" t="s">
        <v>11</v>
      </c>
    </row>
    <row r="113" spans="1:7" x14ac:dyDescent="0.3">
      <c r="A113" t="s">
        <v>250</v>
      </c>
      <c r="B113" s="1">
        <v>45897.479103912039</v>
      </c>
      <c r="C113" s="1">
        <v>45904.444584293982</v>
      </c>
      <c r="D113" t="s">
        <v>13</v>
      </c>
      <c r="E113" t="s">
        <v>18</v>
      </c>
      <c r="F113" t="s">
        <v>251</v>
      </c>
      <c r="G113" t="s">
        <v>29</v>
      </c>
    </row>
    <row r="114" spans="1:7" x14ac:dyDescent="0.3">
      <c r="A114" t="s">
        <v>252</v>
      </c>
      <c r="B114" s="1">
        <v>45897.33485097222</v>
      </c>
      <c r="C114" s="1">
        <v>45902.195088425928</v>
      </c>
      <c r="D114" t="s">
        <v>60</v>
      </c>
      <c r="E114" t="s">
        <v>14</v>
      </c>
      <c r="F114" t="s">
        <v>253</v>
      </c>
      <c r="G114" t="s">
        <v>29</v>
      </c>
    </row>
    <row r="115" spans="1:7" x14ac:dyDescent="0.3">
      <c r="A115" t="s">
        <v>254</v>
      </c>
      <c r="B115" s="1">
        <v>45889.472084976849</v>
      </c>
      <c r="C115" s="1">
        <v>45889.563600474539</v>
      </c>
      <c r="D115" t="s">
        <v>21</v>
      </c>
      <c r="E115" t="s">
        <v>22</v>
      </c>
      <c r="F115" t="s">
        <v>255</v>
      </c>
      <c r="G115" t="s">
        <v>11</v>
      </c>
    </row>
    <row r="116" spans="1:7" x14ac:dyDescent="0.3">
      <c r="A116" t="s">
        <v>256</v>
      </c>
      <c r="B116" s="1">
        <v>45834.277258101851</v>
      </c>
      <c r="C116" s="1">
        <v>45834.880186099537</v>
      </c>
      <c r="D116" t="s">
        <v>8</v>
      </c>
      <c r="E116" t="s">
        <v>25</v>
      </c>
      <c r="F116" t="s">
        <v>257</v>
      </c>
      <c r="G116" t="s">
        <v>16</v>
      </c>
    </row>
    <row r="117" spans="1:7" x14ac:dyDescent="0.3">
      <c r="A117" t="s">
        <v>258</v>
      </c>
      <c r="B117" s="1">
        <v>45904.00158491898</v>
      </c>
      <c r="C117" s="1">
        <v>45908.743611006947</v>
      </c>
      <c r="D117" t="s">
        <v>31</v>
      </c>
      <c r="E117" t="s">
        <v>55</v>
      </c>
      <c r="F117" t="s">
        <v>259</v>
      </c>
      <c r="G117" t="s">
        <v>29</v>
      </c>
    </row>
    <row r="118" spans="1:7" x14ac:dyDescent="0.3">
      <c r="A118" t="s">
        <v>260</v>
      </c>
      <c r="B118" s="1">
        <v>45852.145348541664</v>
      </c>
      <c r="C118" s="1">
        <v>45853.493291354163</v>
      </c>
      <c r="D118" t="s">
        <v>13</v>
      </c>
      <c r="E118" t="s">
        <v>18</v>
      </c>
      <c r="F118" t="s">
        <v>261</v>
      </c>
      <c r="G118" t="s">
        <v>16</v>
      </c>
    </row>
    <row r="119" spans="1:7" x14ac:dyDescent="0.3">
      <c r="A119" t="s">
        <v>262</v>
      </c>
      <c r="B119" s="1">
        <v>45862.277817847222</v>
      </c>
      <c r="C119" s="1">
        <v>45864.09636747685</v>
      </c>
      <c r="D119" t="s">
        <v>31</v>
      </c>
      <c r="E119" t="s">
        <v>46</v>
      </c>
      <c r="F119" t="s">
        <v>263</v>
      </c>
      <c r="G119" t="s">
        <v>16</v>
      </c>
    </row>
    <row r="120" spans="1:7" x14ac:dyDescent="0.3">
      <c r="A120" t="s">
        <v>264</v>
      </c>
      <c r="B120" s="1">
        <v>45872.946095937499</v>
      </c>
      <c r="C120" s="1">
        <v>45879.541631354165</v>
      </c>
      <c r="D120" t="s">
        <v>81</v>
      </c>
      <c r="E120" t="s">
        <v>32</v>
      </c>
      <c r="F120" t="s">
        <v>265</v>
      </c>
      <c r="G120" t="s">
        <v>29</v>
      </c>
    </row>
    <row r="121" spans="1:7" x14ac:dyDescent="0.3">
      <c r="A121" t="s">
        <v>266</v>
      </c>
      <c r="B121" s="1">
        <v>45850.010814976849</v>
      </c>
      <c r="C121" s="1">
        <v>45850.795333125003</v>
      </c>
      <c r="D121" t="s">
        <v>21</v>
      </c>
      <c r="E121" t="s">
        <v>14</v>
      </c>
      <c r="F121" t="s">
        <v>267</v>
      </c>
      <c r="G121" t="s">
        <v>16</v>
      </c>
    </row>
    <row r="122" spans="1:7" x14ac:dyDescent="0.3">
      <c r="A122" t="s">
        <v>268</v>
      </c>
      <c r="B122" s="1">
        <v>45857.543304513893</v>
      </c>
      <c r="C122" s="1">
        <v>45858.309298784719</v>
      </c>
      <c r="D122" t="s">
        <v>8</v>
      </c>
      <c r="E122" t="s">
        <v>25</v>
      </c>
      <c r="F122" t="s">
        <v>269</v>
      </c>
      <c r="G122" t="s">
        <v>16</v>
      </c>
    </row>
    <row r="123" spans="1:7" x14ac:dyDescent="0.3">
      <c r="A123" t="s">
        <v>270</v>
      </c>
      <c r="B123" s="1">
        <v>45837.839233402781</v>
      </c>
      <c r="C123" s="1">
        <v>45838.438694236109</v>
      </c>
      <c r="D123" t="s">
        <v>31</v>
      </c>
      <c r="E123" t="s">
        <v>42</v>
      </c>
      <c r="F123" t="s">
        <v>271</v>
      </c>
      <c r="G123" t="s">
        <v>16</v>
      </c>
    </row>
    <row r="124" spans="1:7" x14ac:dyDescent="0.3">
      <c r="A124" t="s">
        <v>272</v>
      </c>
      <c r="B124" s="1">
        <v>45867.618249085652</v>
      </c>
      <c r="C124" s="1">
        <v>45868.392216446759</v>
      </c>
      <c r="D124" t="s">
        <v>13</v>
      </c>
      <c r="E124" t="s">
        <v>9</v>
      </c>
      <c r="F124" t="s">
        <v>273</v>
      </c>
      <c r="G124" t="s">
        <v>16</v>
      </c>
    </row>
    <row r="125" spans="1:7" x14ac:dyDescent="0.3">
      <c r="A125" t="s">
        <v>274</v>
      </c>
      <c r="B125" s="1">
        <v>45888.049664409722</v>
      </c>
      <c r="C125" s="1">
        <v>45889.796211516201</v>
      </c>
      <c r="D125" t="s">
        <v>45</v>
      </c>
      <c r="E125" t="s">
        <v>14</v>
      </c>
      <c r="F125" t="s">
        <v>275</v>
      </c>
      <c r="G125" t="s">
        <v>16</v>
      </c>
    </row>
    <row r="126" spans="1:7" x14ac:dyDescent="0.3">
      <c r="A126" t="s">
        <v>276</v>
      </c>
      <c r="B126" s="1">
        <v>45833.252764166667</v>
      </c>
      <c r="C126" s="1">
        <v>45833.782323101848</v>
      </c>
      <c r="D126" t="s">
        <v>81</v>
      </c>
      <c r="E126" t="s">
        <v>55</v>
      </c>
      <c r="F126" t="s">
        <v>277</v>
      </c>
      <c r="G126" t="s">
        <v>16</v>
      </c>
    </row>
    <row r="127" spans="1:7" x14ac:dyDescent="0.3">
      <c r="A127" t="s">
        <v>278</v>
      </c>
      <c r="B127" s="1">
        <v>45871.769415833332</v>
      </c>
      <c r="C127" s="1">
        <v>45872.507896226853</v>
      </c>
      <c r="D127" t="s">
        <v>81</v>
      </c>
      <c r="E127" t="s">
        <v>22</v>
      </c>
      <c r="F127" t="s">
        <v>279</v>
      </c>
      <c r="G127" t="s">
        <v>16</v>
      </c>
    </row>
    <row r="128" spans="1:7" x14ac:dyDescent="0.3">
      <c r="A128" t="s">
        <v>280</v>
      </c>
      <c r="B128" s="1">
        <v>45895.01577233796</v>
      </c>
      <c r="C128" s="1">
        <v>45898.961600011571</v>
      </c>
      <c r="D128" t="s">
        <v>21</v>
      </c>
      <c r="E128" t="s">
        <v>32</v>
      </c>
      <c r="F128" t="s">
        <v>281</v>
      </c>
      <c r="G128" t="s">
        <v>29</v>
      </c>
    </row>
    <row r="129" spans="1:7" x14ac:dyDescent="0.3">
      <c r="A129" t="s">
        <v>282</v>
      </c>
      <c r="B129" s="1">
        <v>45855.641187476853</v>
      </c>
      <c r="C129" s="1">
        <v>45860.058005162035</v>
      </c>
      <c r="D129" t="s">
        <v>13</v>
      </c>
      <c r="E129" t="s">
        <v>55</v>
      </c>
      <c r="F129" t="s">
        <v>283</v>
      </c>
      <c r="G129" t="s">
        <v>29</v>
      </c>
    </row>
    <row r="130" spans="1:7" x14ac:dyDescent="0.3">
      <c r="A130" t="s">
        <v>284</v>
      </c>
      <c r="B130" s="1">
        <v>45909.709815717593</v>
      </c>
      <c r="C130" s="1">
        <v>45910.054590312502</v>
      </c>
      <c r="D130" t="s">
        <v>45</v>
      </c>
      <c r="E130" t="s">
        <v>18</v>
      </c>
      <c r="F130" t="s">
        <v>285</v>
      </c>
      <c r="G130" t="s">
        <v>11</v>
      </c>
    </row>
    <row r="131" spans="1:7" x14ac:dyDescent="0.3">
      <c r="A131" t="s">
        <v>286</v>
      </c>
      <c r="B131" s="1">
        <v>45906.729388576387</v>
      </c>
      <c r="C131" s="1">
        <v>45908.672971944441</v>
      </c>
      <c r="D131" t="s">
        <v>8</v>
      </c>
      <c r="E131" t="s">
        <v>14</v>
      </c>
      <c r="F131" t="s">
        <v>287</v>
      </c>
      <c r="G131" t="s">
        <v>16</v>
      </c>
    </row>
    <row r="132" spans="1:7" x14ac:dyDescent="0.3">
      <c r="A132" t="s">
        <v>288</v>
      </c>
      <c r="B132" s="1">
        <v>45910.871020706021</v>
      </c>
      <c r="C132" s="1">
        <v>45912.692476354168</v>
      </c>
      <c r="D132" t="s">
        <v>81</v>
      </c>
      <c r="E132" t="s">
        <v>35</v>
      </c>
      <c r="F132" t="s">
        <v>289</v>
      </c>
      <c r="G132" t="s">
        <v>29</v>
      </c>
    </row>
    <row r="133" spans="1:7" x14ac:dyDescent="0.3">
      <c r="A133" t="s">
        <v>290</v>
      </c>
      <c r="B133" s="1">
        <v>45879.520755300924</v>
      </c>
      <c r="C133" s="1">
        <v>45883.389230601853</v>
      </c>
      <c r="D133" t="s">
        <v>81</v>
      </c>
      <c r="E133" t="s">
        <v>18</v>
      </c>
      <c r="F133" t="s">
        <v>291</v>
      </c>
      <c r="G133" t="s">
        <v>29</v>
      </c>
    </row>
    <row r="134" spans="1:7" x14ac:dyDescent="0.3">
      <c r="A134" t="s">
        <v>292</v>
      </c>
      <c r="B134" s="1">
        <v>45907.109921354167</v>
      </c>
      <c r="C134" s="1">
        <v>45910.587372002316</v>
      </c>
      <c r="D134" t="s">
        <v>8</v>
      </c>
      <c r="E134" t="s">
        <v>42</v>
      </c>
      <c r="F134" t="s">
        <v>293</v>
      </c>
      <c r="G134" t="s">
        <v>29</v>
      </c>
    </row>
    <row r="135" spans="1:7" x14ac:dyDescent="0.3">
      <c r="A135" t="s">
        <v>294</v>
      </c>
      <c r="B135" s="1">
        <v>45859.296687372684</v>
      </c>
      <c r="C135" s="1">
        <v>45859.711959270833</v>
      </c>
      <c r="D135" t="s">
        <v>31</v>
      </c>
      <c r="E135" t="s">
        <v>22</v>
      </c>
      <c r="F135" t="s">
        <v>295</v>
      </c>
      <c r="G135" t="s">
        <v>11</v>
      </c>
    </row>
    <row r="136" spans="1:7" x14ac:dyDescent="0.3">
      <c r="A136" t="s">
        <v>296</v>
      </c>
      <c r="B136" s="1">
        <v>45884.043633368055</v>
      </c>
      <c r="C136" s="1">
        <v>45891.026826423615</v>
      </c>
      <c r="D136" t="s">
        <v>8</v>
      </c>
      <c r="E136" t="s">
        <v>32</v>
      </c>
      <c r="F136" t="s">
        <v>297</v>
      </c>
      <c r="G136" t="s">
        <v>29</v>
      </c>
    </row>
    <row r="137" spans="1:7" x14ac:dyDescent="0.3">
      <c r="A137" t="s">
        <v>298</v>
      </c>
      <c r="B137" s="1">
        <v>45832.24807454861</v>
      </c>
      <c r="C137" s="1">
        <v>45837.032086712963</v>
      </c>
      <c r="D137" t="s">
        <v>60</v>
      </c>
      <c r="E137" t="s">
        <v>35</v>
      </c>
      <c r="F137" t="s">
        <v>299</v>
      </c>
      <c r="G137" t="s">
        <v>29</v>
      </c>
    </row>
    <row r="138" spans="1:7" x14ac:dyDescent="0.3">
      <c r="A138" t="s">
        <v>300</v>
      </c>
      <c r="B138" s="1">
        <v>45914.743208043983</v>
      </c>
      <c r="C138" s="1">
        <v>45917.991188726854</v>
      </c>
      <c r="D138" t="s">
        <v>21</v>
      </c>
      <c r="E138" t="s">
        <v>35</v>
      </c>
      <c r="F138" t="s">
        <v>301</v>
      </c>
      <c r="G138" t="s">
        <v>29</v>
      </c>
    </row>
    <row r="139" spans="1:7" x14ac:dyDescent="0.3">
      <c r="A139" t="s">
        <v>302</v>
      </c>
      <c r="B139" s="1">
        <v>45837.385131631941</v>
      </c>
      <c r="C139" s="1">
        <v>45838.970033020836</v>
      </c>
      <c r="D139" t="s">
        <v>21</v>
      </c>
      <c r="E139" t="s">
        <v>14</v>
      </c>
      <c r="F139" t="s">
        <v>303</v>
      </c>
      <c r="G139" t="s">
        <v>29</v>
      </c>
    </row>
    <row r="140" spans="1:7" x14ac:dyDescent="0.3">
      <c r="A140" t="s">
        <v>304</v>
      </c>
      <c r="B140" s="1">
        <v>45888.557472025466</v>
      </c>
      <c r="C140" s="1">
        <v>45889.528593067131</v>
      </c>
      <c r="D140" t="s">
        <v>13</v>
      </c>
      <c r="E140" t="s">
        <v>9</v>
      </c>
      <c r="F140" t="s">
        <v>305</v>
      </c>
      <c r="G140" t="s">
        <v>16</v>
      </c>
    </row>
    <row r="141" spans="1:7" x14ac:dyDescent="0.3">
      <c r="A141" t="s">
        <v>306</v>
      </c>
      <c r="B141" s="1">
        <v>45890.610338888888</v>
      </c>
      <c r="C141" s="1">
        <v>45896.433827546294</v>
      </c>
      <c r="D141" t="s">
        <v>45</v>
      </c>
      <c r="E141" t="s">
        <v>35</v>
      </c>
      <c r="F141" t="s">
        <v>307</v>
      </c>
      <c r="G141" t="s">
        <v>29</v>
      </c>
    </row>
    <row r="142" spans="1:7" x14ac:dyDescent="0.3">
      <c r="A142" t="s">
        <v>308</v>
      </c>
      <c r="B142" s="1">
        <v>45874.456965682868</v>
      </c>
      <c r="C142" s="1">
        <v>45875.076861180554</v>
      </c>
      <c r="D142" t="s">
        <v>21</v>
      </c>
      <c r="E142" t="s">
        <v>46</v>
      </c>
      <c r="F142" t="s">
        <v>309</v>
      </c>
      <c r="G142" t="s">
        <v>16</v>
      </c>
    </row>
    <row r="143" spans="1:7" x14ac:dyDescent="0.3">
      <c r="A143" t="s">
        <v>310</v>
      </c>
      <c r="B143" s="1">
        <v>45887.431979837966</v>
      </c>
      <c r="C143" s="1">
        <v>45887.968167638886</v>
      </c>
      <c r="D143" t="s">
        <v>21</v>
      </c>
      <c r="E143" t="s">
        <v>9</v>
      </c>
      <c r="F143" t="s">
        <v>311</v>
      </c>
      <c r="G143" t="s">
        <v>16</v>
      </c>
    </row>
    <row r="144" spans="1:7" x14ac:dyDescent="0.3">
      <c r="A144" t="s">
        <v>312</v>
      </c>
      <c r="B144" s="1">
        <v>45913.681012118053</v>
      </c>
      <c r="C144" s="1">
        <v>45914.899067337959</v>
      </c>
      <c r="D144" t="s">
        <v>45</v>
      </c>
      <c r="E144" t="s">
        <v>25</v>
      </c>
      <c r="F144" t="s">
        <v>313</v>
      </c>
      <c r="G144" t="s">
        <v>16</v>
      </c>
    </row>
    <row r="145" spans="1:7" x14ac:dyDescent="0.3">
      <c r="A145" t="s">
        <v>314</v>
      </c>
      <c r="B145" s="1">
        <v>45872.284382627317</v>
      </c>
      <c r="C145" s="1">
        <v>45875.951124525462</v>
      </c>
      <c r="D145" t="s">
        <v>21</v>
      </c>
      <c r="E145" t="s">
        <v>22</v>
      </c>
      <c r="F145" t="s">
        <v>315</v>
      </c>
      <c r="G145" t="s">
        <v>29</v>
      </c>
    </row>
    <row r="146" spans="1:7" x14ac:dyDescent="0.3">
      <c r="A146" t="s">
        <v>316</v>
      </c>
      <c r="B146" s="1">
        <v>45835.128006678242</v>
      </c>
      <c r="C146" s="1">
        <v>45835.63756747685</v>
      </c>
      <c r="D146" t="s">
        <v>13</v>
      </c>
      <c r="E146" t="s">
        <v>46</v>
      </c>
      <c r="F146" t="s">
        <v>317</v>
      </c>
      <c r="G146" t="s">
        <v>16</v>
      </c>
    </row>
    <row r="147" spans="1:7" x14ac:dyDescent="0.3">
      <c r="A147" t="s">
        <v>318</v>
      </c>
      <c r="B147" s="1">
        <v>45900.65947421296</v>
      </c>
      <c r="C147" s="1">
        <v>45900.743211898145</v>
      </c>
      <c r="D147" t="s">
        <v>81</v>
      </c>
      <c r="E147" t="s">
        <v>22</v>
      </c>
      <c r="F147" t="s">
        <v>319</v>
      </c>
      <c r="G147" t="s">
        <v>115</v>
      </c>
    </row>
    <row r="148" spans="1:7" x14ac:dyDescent="0.3">
      <c r="A148" t="s">
        <v>320</v>
      </c>
      <c r="B148" s="1">
        <v>45832.460665983795</v>
      </c>
      <c r="C148" s="1">
        <v>45832.787722476853</v>
      </c>
      <c r="D148" t="s">
        <v>45</v>
      </c>
      <c r="E148" t="s">
        <v>35</v>
      </c>
      <c r="F148" t="s">
        <v>321</v>
      </c>
      <c r="G148" t="s">
        <v>11</v>
      </c>
    </row>
    <row r="149" spans="1:7" x14ac:dyDescent="0.3">
      <c r="A149" t="s">
        <v>322</v>
      </c>
      <c r="B149" s="1">
        <v>45902.70604621528</v>
      </c>
      <c r="C149" s="1">
        <v>45906.209134826386</v>
      </c>
      <c r="D149" t="s">
        <v>60</v>
      </c>
      <c r="E149" t="s">
        <v>22</v>
      </c>
      <c r="F149" t="s">
        <v>323</v>
      </c>
      <c r="G149" t="s">
        <v>29</v>
      </c>
    </row>
    <row r="150" spans="1:7" x14ac:dyDescent="0.3">
      <c r="A150" t="s">
        <v>324</v>
      </c>
      <c r="B150" s="1">
        <v>45854.598774027778</v>
      </c>
      <c r="C150" s="1">
        <v>45855.701526377314</v>
      </c>
      <c r="D150" t="s">
        <v>8</v>
      </c>
      <c r="E150" t="s">
        <v>42</v>
      </c>
      <c r="F150" t="s">
        <v>325</v>
      </c>
      <c r="G150" t="s">
        <v>16</v>
      </c>
    </row>
    <row r="151" spans="1:7" x14ac:dyDescent="0.3">
      <c r="A151" t="s">
        <v>326</v>
      </c>
      <c r="B151" s="1">
        <v>45869.175449467592</v>
      </c>
      <c r="C151" s="1">
        <v>45870.175988194445</v>
      </c>
      <c r="D151" t="s">
        <v>21</v>
      </c>
      <c r="E151" t="s">
        <v>9</v>
      </c>
      <c r="F151" t="s">
        <v>327</v>
      </c>
      <c r="G15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0F2EA-46BA-4078-BAA5-11B95E7F1242}">
  <dimension ref="A1:K151"/>
  <sheetViews>
    <sheetView workbookViewId="0">
      <selection activeCell="N61" sqref="N61"/>
    </sheetView>
  </sheetViews>
  <sheetFormatPr defaultRowHeight="14.4" x14ac:dyDescent="0.3"/>
  <cols>
    <col min="1" max="1" width="11.33203125" bestFit="1" customWidth="1"/>
    <col min="2" max="2" width="17.44140625" style="5" bestFit="1" customWidth="1"/>
    <col min="3" max="3" width="16.5546875" style="5" bestFit="1" customWidth="1"/>
    <col min="4" max="4" width="10.33203125" customWidth="1"/>
    <col min="5" max="5" width="17.5546875" bestFit="1" customWidth="1"/>
    <col min="6" max="6" width="97.88671875" bestFit="1" customWidth="1"/>
    <col min="7" max="7" width="9.33203125" bestFit="1" customWidth="1"/>
    <col min="8" max="8" width="16.77734375" bestFit="1" customWidth="1"/>
    <col min="9" max="9" width="14.33203125" bestFit="1" customWidth="1"/>
    <col min="10" max="10" width="14.33203125" customWidth="1"/>
    <col min="11" max="11" width="10.77734375" bestFit="1" customWidth="1"/>
  </cols>
  <sheetData>
    <row r="1" spans="1:11" x14ac:dyDescent="0.3">
      <c r="A1" t="s">
        <v>0</v>
      </c>
      <c r="B1" s="5" t="s">
        <v>1</v>
      </c>
      <c r="C1" s="5" t="s">
        <v>2</v>
      </c>
      <c r="D1" t="s">
        <v>3</v>
      </c>
      <c r="E1" t="s">
        <v>4</v>
      </c>
      <c r="F1" t="s">
        <v>5</v>
      </c>
      <c r="G1" t="s">
        <v>6</v>
      </c>
      <c r="H1" t="s">
        <v>329</v>
      </c>
      <c r="I1" t="s">
        <v>330</v>
      </c>
      <c r="J1" t="s">
        <v>328</v>
      </c>
      <c r="K1" t="s">
        <v>331</v>
      </c>
    </row>
    <row r="2" spans="1:11" x14ac:dyDescent="0.3">
      <c r="A2" t="s">
        <v>7</v>
      </c>
      <c r="B2" s="5">
        <v>45835.941851550924</v>
      </c>
      <c r="C2" s="5">
        <v>45836.157414861111</v>
      </c>
      <c r="D2" t="s">
        <v>8</v>
      </c>
      <c r="E2" t="s">
        <v>9</v>
      </c>
      <c r="F2" t="s">
        <v>10</v>
      </c>
      <c r="G2" t="s">
        <v>11</v>
      </c>
      <c r="H2" s="7">
        <f>(Table2[[#This Row],[resolution_date]]-Table2[[#This Row],[submission_date]])*24</f>
        <v>5.1735194444772787</v>
      </c>
      <c r="I2" t="str">
        <f>TEXT(Table2[[#This Row],[submission_date]],"ddd")</f>
        <v>Fri</v>
      </c>
      <c r="J2" t="str">
        <f>TEXT(Table2[[#This Row],[submission_date]],"mmm")</f>
        <v>Jun</v>
      </c>
      <c r="K2">
        <f>HOUR(Table2[[#This Row],[resolution_date]])</f>
        <v>3</v>
      </c>
    </row>
    <row r="3" spans="1:11" x14ac:dyDescent="0.3">
      <c r="A3" t="s">
        <v>12</v>
      </c>
      <c r="B3" s="5">
        <v>45901.811099571758</v>
      </c>
      <c r="C3" s="5">
        <v>45903.304233009258</v>
      </c>
      <c r="D3" t="s">
        <v>13</v>
      </c>
      <c r="E3" t="s">
        <v>14</v>
      </c>
      <c r="F3" t="s">
        <v>15</v>
      </c>
      <c r="G3" t="s">
        <v>16</v>
      </c>
      <c r="H3" s="7">
        <f>(Table2[[#This Row],[resolution_date]]-Table2[[#This Row],[submission_date]])*24</f>
        <v>35.835202499991283</v>
      </c>
      <c r="I3" t="str">
        <f>TEXT(Table2[[#This Row],[submission_date]],"ddd")</f>
        <v>Mon</v>
      </c>
      <c r="J3" t="str">
        <f>TEXT(Table2[[#This Row],[submission_date]],"mmm")</f>
        <v>Sep</v>
      </c>
      <c r="K3">
        <f>HOUR(Table2[[#This Row],[resolution_date]])</f>
        <v>7</v>
      </c>
    </row>
    <row r="4" spans="1:11" x14ac:dyDescent="0.3">
      <c r="A4" t="s">
        <v>17</v>
      </c>
      <c r="B4" s="5">
        <v>45904.397251620372</v>
      </c>
      <c r="C4" s="5">
        <v>45905.993478182871</v>
      </c>
      <c r="D4" t="s">
        <v>8</v>
      </c>
      <c r="E4" t="s">
        <v>18</v>
      </c>
      <c r="F4" t="s">
        <v>19</v>
      </c>
      <c r="G4" t="s">
        <v>16</v>
      </c>
      <c r="H4" s="7">
        <f>(Table2[[#This Row],[resolution_date]]-Table2[[#This Row],[submission_date]])*24</f>
        <v>38.309437499963678</v>
      </c>
      <c r="I4" t="str">
        <f>TEXT(Table2[[#This Row],[submission_date]],"ddd")</f>
        <v>Thu</v>
      </c>
      <c r="J4" t="str">
        <f>TEXT(Table2[[#This Row],[submission_date]],"mmm")</f>
        <v>Sep</v>
      </c>
      <c r="K4">
        <f>HOUR(Table2[[#This Row],[resolution_date]])</f>
        <v>23</v>
      </c>
    </row>
    <row r="5" spans="1:11" x14ac:dyDescent="0.3">
      <c r="A5" t="s">
        <v>20</v>
      </c>
      <c r="B5" s="5">
        <v>45866.74136521991</v>
      </c>
      <c r="C5" s="5">
        <v>45867.068278460647</v>
      </c>
      <c r="D5" t="s">
        <v>21</v>
      </c>
      <c r="E5" t="s">
        <v>22</v>
      </c>
      <c r="F5" t="s">
        <v>23</v>
      </c>
      <c r="G5" t="s">
        <v>11</v>
      </c>
      <c r="H5" s="7">
        <f>(Table2[[#This Row],[resolution_date]]-Table2[[#This Row],[submission_date]])*24</f>
        <v>7.8459177776821889</v>
      </c>
      <c r="I5" t="str">
        <f>TEXT(Table2[[#This Row],[submission_date]],"ddd")</f>
        <v>Mon</v>
      </c>
      <c r="J5" t="str">
        <f>TEXT(Table2[[#This Row],[submission_date]],"mmm")</f>
        <v>Jul</v>
      </c>
      <c r="K5">
        <f>HOUR(Table2[[#This Row],[resolution_date]])</f>
        <v>1</v>
      </c>
    </row>
    <row r="6" spans="1:11" x14ac:dyDescent="0.3">
      <c r="A6" t="s">
        <v>24</v>
      </c>
      <c r="B6" s="5">
        <v>45903.907044259257</v>
      </c>
      <c r="C6" s="5">
        <v>45904.286888356481</v>
      </c>
      <c r="D6" t="s">
        <v>13</v>
      </c>
      <c r="E6" t="s">
        <v>25</v>
      </c>
      <c r="F6" t="s">
        <v>26</v>
      </c>
      <c r="G6" t="s">
        <v>11</v>
      </c>
      <c r="H6" s="7">
        <f>(Table2[[#This Row],[resolution_date]]-Table2[[#This Row],[submission_date]])*24</f>
        <v>9.1162583333789371</v>
      </c>
      <c r="I6" t="str">
        <f>TEXT(Table2[[#This Row],[submission_date]],"ddd")</f>
        <v>Wed</v>
      </c>
      <c r="J6" t="str">
        <f>TEXT(Table2[[#This Row],[submission_date]],"mmm")</f>
        <v>Sep</v>
      </c>
      <c r="K6">
        <f>HOUR(Table2[[#This Row],[resolution_date]])</f>
        <v>6</v>
      </c>
    </row>
    <row r="7" spans="1:11" x14ac:dyDescent="0.3">
      <c r="A7" t="s">
        <v>27</v>
      </c>
      <c r="B7" s="5">
        <v>45873.856022060187</v>
      </c>
      <c r="C7" s="5">
        <v>45879.411592372686</v>
      </c>
      <c r="D7" t="s">
        <v>13</v>
      </c>
      <c r="E7" t="s">
        <v>18</v>
      </c>
      <c r="F7" t="s">
        <v>28</v>
      </c>
      <c r="G7" t="s">
        <v>29</v>
      </c>
      <c r="H7" s="7">
        <f>(Table2[[#This Row],[resolution_date]]-Table2[[#This Row],[submission_date]])*24</f>
        <v>133.33368749998044</v>
      </c>
      <c r="I7" t="str">
        <f>TEXT(Table2[[#This Row],[submission_date]],"ddd")</f>
        <v>Mon</v>
      </c>
      <c r="J7" t="str">
        <f>TEXT(Table2[[#This Row],[submission_date]],"mmm")</f>
        <v>Aug</v>
      </c>
      <c r="K7">
        <f>HOUR(Table2[[#This Row],[resolution_date]])</f>
        <v>9</v>
      </c>
    </row>
    <row r="8" spans="1:11" x14ac:dyDescent="0.3">
      <c r="A8" t="s">
        <v>30</v>
      </c>
      <c r="B8" s="5">
        <v>45891.443237013889</v>
      </c>
      <c r="C8" s="5">
        <v>45892.591544884257</v>
      </c>
      <c r="D8" t="s">
        <v>31</v>
      </c>
      <c r="E8" t="s">
        <v>32</v>
      </c>
      <c r="F8" t="s">
        <v>33</v>
      </c>
      <c r="G8" t="s">
        <v>29</v>
      </c>
      <c r="H8" s="7">
        <f>(Table2[[#This Row],[resolution_date]]-Table2[[#This Row],[submission_date]])*24</f>
        <v>27.559388888825197</v>
      </c>
      <c r="I8" t="str">
        <f>TEXT(Table2[[#This Row],[submission_date]],"ddd")</f>
        <v>Fri</v>
      </c>
      <c r="J8" t="str">
        <f>TEXT(Table2[[#This Row],[submission_date]],"mmm")</f>
        <v>Aug</v>
      </c>
      <c r="K8">
        <f>HOUR(Table2[[#This Row],[resolution_date]])</f>
        <v>14</v>
      </c>
    </row>
    <row r="9" spans="1:11" x14ac:dyDescent="0.3">
      <c r="A9" t="s">
        <v>34</v>
      </c>
      <c r="B9" s="5">
        <v>45843.321851516201</v>
      </c>
      <c r="C9" s="5">
        <v>45847.851614560182</v>
      </c>
      <c r="D9" t="s">
        <v>13</v>
      </c>
      <c r="E9" t="s">
        <v>35</v>
      </c>
      <c r="F9" t="s">
        <v>36</v>
      </c>
      <c r="G9" t="s">
        <v>29</v>
      </c>
      <c r="H9" s="7">
        <f>(Table2[[#This Row],[resolution_date]]-Table2[[#This Row],[submission_date]])*24</f>
        <v>108.71431305556325</v>
      </c>
      <c r="I9" t="str">
        <f>TEXT(Table2[[#This Row],[submission_date]],"ddd")</f>
        <v>Sat</v>
      </c>
      <c r="J9" t="str">
        <f>TEXT(Table2[[#This Row],[submission_date]],"mmm")</f>
        <v>Jul</v>
      </c>
      <c r="K9">
        <f>HOUR(Table2[[#This Row],[resolution_date]])</f>
        <v>20</v>
      </c>
    </row>
    <row r="10" spans="1:11" x14ac:dyDescent="0.3">
      <c r="A10" t="s">
        <v>37</v>
      </c>
      <c r="B10" s="5">
        <v>45845.695295972226</v>
      </c>
      <c r="C10" s="5">
        <v>45846.419769224536</v>
      </c>
      <c r="D10" t="s">
        <v>21</v>
      </c>
      <c r="E10" t="s">
        <v>35</v>
      </c>
      <c r="F10" t="s">
        <v>38</v>
      </c>
      <c r="G10" t="s">
        <v>16</v>
      </c>
      <c r="H10" s="7">
        <f>(Table2[[#This Row],[resolution_date]]-Table2[[#This Row],[submission_date]])*24</f>
        <v>17.387358055450022</v>
      </c>
      <c r="I10" t="str">
        <f>TEXT(Table2[[#This Row],[submission_date]],"ddd")</f>
        <v>Mon</v>
      </c>
      <c r="J10" t="str">
        <f>TEXT(Table2[[#This Row],[submission_date]],"mmm")</f>
        <v>Jul</v>
      </c>
      <c r="K10">
        <f>HOUR(Table2[[#This Row],[resolution_date]])</f>
        <v>10</v>
      </c>
    </row>
    <row r="11" spans="1:11" x14ac:dyDescent="0.3">
      <c r="A11" t="s">
        <v>39</v>
      </c>
      <c r="B11" s="5">
        <v>45910.617740428243</v>
      </c>
      <c r="C11" s="5">
        <v>45911.83237329861</v>
      </c>
      <c r="D11" t="s">
        <v>13</v>
      </c>
      <c r="E11" t="s">
        <v>18</v>
      </c>
      <c r="F11" t="s">
        <v>40</v>
      </c>
      <c r="G11" t="s">
        <v>16</v>
      </c>
      <c r="H11" s="7">
        <f>(Table2[[#This Row],[resolution_date]]-Table2[[#This Row],[submission_date]])*24</f>
        <v>29.151188888819888</v>
      </c>
      <c r="I11" t="str">
        <f>TEXT(Table2[[#This Row],[submission_date]],"ddd")</f>
        <v>Wed</v>
      </c>
      <c r="J11" t="str">
        <f>TEXT(Table2[[#This Row],[submission_date]],"mmm")</f>
        <v>Sep</v>
      </c>
      <c r="K11">
        <f>HOUR(Table2[[#This Row],[resolution_date]])</f>
        <v>19</v>
      </c>
    </row>
    <row r="12" spans="1:11" x14ac:dyDescent="0.3">
      <c r="A12" t="s">
        <v>41</v>
      </c>
      <c r="B12" s="5">
        <v>45896.555576689818</v>
      </c>
      <c r="C12" s="5">
        <v>45902.686473993053</v>
      </c>
      <c r="D12" t="s">
        <v>13</v>
      </c>
      <c r="E12" t="s">
        <v>42</v>
      </c>
      <c r="F12" t="s">
        <v>43</v>
      </c>
      <c r="G12" t="s">
        <v>29</v>
      </c>
      <c r="H12" s="7">
        <f>(Table2[[#This Row],[resolution_date]]-Table2[[#This Row],[submission_date]])*24</f>
        <v>147.14153527765302</v>
      </c>
      <c r="I12" t="str">
        <f>TEXT(Table2[[#This Row],[submission_date]],"ddd")</f>
        <v>Wed</v>
      </c>
      <c r="J12" t="str">
        <f>TEXT(Table2[[#This Row],[submission_date]],"mmm")</f>
        <v>Aug</v>
      </c>
      <c r="K12">
        <f>HOUR(Table2[[#This Row],[resolution_date]])</f>
        <v>16</v>
      </c>
    </row>
    <row r="13" spans="1:11" x14ac:dyDescent="0.3">
      <c r="A13" t="s">
        <v>44</v>
      </c>
      <c r="B13" s="5">
        <v>45832.080772222223</v>
      </c>
      <c r="C13" s="5">
        <v>45832.240656608796</v>
      </c>
      <c r="D13" t="s">
        <v>45</v>
      </c>
      <c r="E13" t="s">
        <v>46</v>
      </c>
      <c r="F13" t="s">
        <v>47</v>
      </c>
      <c r="G13" t="s">
        <v>11</v>
      </c>
      <c r="H13" s="7">
        <f>(Table2[[#This Row],[resolution_date]]-Table2[[#This Row],[submission_date]])*24</f>
        <v>3.8372252777335234</v>
      </c>
      <c r="I13" t="str">
        <f>TEXT(Table2[[#This Row],[submission_date]],"ddd")</f>
        <v>Tue</v>
      </c>
      <c r="J13" t="str">
        <f>TEXT(Table2[[#This Row],[submission_date]],"mmm")</f>
        <v>Jun</v>
      </c>
      <c r="K13">
        <f>HOUR(Table2[[#This Row],[resolution_date]])</f>
        <v>5</v>
      </c>
    </row>
    <row r="14" spans="1:11" x14ac:dyDescent="0.3">
      <c r="A14" t="s">
        <v>48</v>
      </c>
      <c r="B14" s="5">
        <v>45836.410961250003</v>
      </c>
      <c r="C14" s="5">
        <v>45837.124087824071</v>
      </c>
      <c r="D14" t="s">
        <v>45</v>
      </c>
      <c r="E14" t="s">
        <v>9</v>
      </c>
      <c r="F14" t="s">
        <v>49</v>
      </c>
      <c r="G14" t="s">
        <v>16</v>
      </c>
      <c r="H14" s="7">
        <f>(Table2[[#This Row],[resolution_date]]-Table2[[#This Row],[submission_date]])*24</f>
        <v>17.115037777635735</v>
      </c>
      <c r="I14" t="str">
        <f>TEXT(Table2[[#This Row],[submission_date]],"ddd")</f>
        <v>Sat</v>
      </c>
      <c r="J14" t="str">
        <f>TEXT(Table2[[#This Row],[submission_date]],"mmm")</f>
        <v>Jun</v>
      </c>
      <c r="K14">
        <f>HOUR(Table2[[#This Row],[resolution_date]])</f>
        <v>2</v>
      </c>
    </row>
    <row r="15" spans="1:11" x14ac:dyDescent="0.3">
      <c r="A15" t="s">
        <v>50</v>
      </c>
      <c r="B15" s="5">
        <v>45860.381175960647</v>
      </c>
      <c r="C15" s="5">
        <v>45864.663007314812</v>
      </c>
      <c r="D15" t="s">
        <v>13</v>
      </c>
      <c r="E15" t="s">
        <v>35</v>
      </c>
      <c r="F15" t="s">
        <v>51</v>
      </c>
      <c r="G15" t="s">
        <v>29</v>
      </c>
      <c r="H15" s="7">
        <f>(Table2[[#This Row],[resolution_date]]-Table2[[#This Row],[submission_date]])*24</f>
        <v>102.76395249995403</v>
      </c>
      <c r="I15" t="str">
        <f>TEXT(Table2[[#This Row],[submission_date]],"ddd")</f>
        <v>Tue</v>
      </c>
      <c r="J15" t="str">
        <f>TEXT(Table2[[#This Row],[submission_date]],"mmm")</f>
        <v>Jul</v>
      </c>
      <c r="K15">
        <f>HOUR(Table2[[#This Row],[resolution_date]])</f>
        <v>15</v>
      </c>
    </row>
    <row r="16" spans="1:11" x14ac:dyDescent="0.3">
      <c r="A16" t="s">
        <v>52</v>
      </c>
      <c r="B16" s="5">
        <v>45847.939561203704</v>
      </c>
      <c r="C16" s="5">
        <v>45848.049673634261</v>
      </c>
      <c r="D16" t="s">
        <v>13</v>
      </c>
      <c r="E16" t="s">
        <v>14</v>
      </c>
      <c r="F16" t="s">
        <v>53</v>
      </c>
      <c r="G16" t="s">
        <v>11</v>
      </c>
      <c r="H16" s="7">
        <f>(Table2[[#This Row],[resolution_date]]-Table2[[#This Row],[submission_date]])*24</f>
        <v>2.6426983333658427</v>
      </c>
      <c r="I16" t="str">
        <f>TEXT(Table2[[#This Row],[submission_date]],"ddd")</f>
        <v>Wed</v>
      </c>
      <c r="J16" t="str">
        <f>TEXT(Table2[[#This Row],[submission_date]],"mmm")</f>
        <v>Jul</v>
      </c>
      <c r="K16">
        <f>HOUR(Table2[[#This Row],[resolution_date]])</f>
        <v>1</v>
      </c>
    </row>
    <row r="17" spans="1:11" x14ac:dyDescent="0.3">
      <c r="A17" t="s">
        <v>54</v>
      </c>
      <c r="B17" s="5">
        <v>45861.940402638887</v>
      </c>
      <c r="C17" s="5">
        <v>45862.05557290509</v>
      </c>
      <c r="D17" t="s">
        <v>13</v>
      </c>
      <c r="E17" t="s">
        <v>55</v>
      </c>
      <c r="F17" t="s">
        <v>56</v>
      </c>
      <c r="G17" t="s">
        <v>11</v>
      </c>
      <c r="H17" s="7">
        <f>(Table2[[#This Row],[resolution_date]]-Table2[[#This Row],[submission_date]])*24</f>
        <v>2.7640863888664171</v>
      </c>
      <c r="I17" t="str">
        <f>TEXT(Table2[[#This Row],[submission_date]],"ddd")</f>
        <v>Wed</v>
      </c>
      <c r="J17" t="str">
        <f>TEXT(Table2[[#This Row],[submission_date]],"mmm")</f>
        <v>Jul</v>
      </c>
      <c r="K17">
        <f>HOUR(Table2[[#This Row],[resolution_date]])</f>
        <v>1</v>
      </c>
    </row>
    <row r="18" spans="1:11" x14ac:dyDescent="0.3">
      <c r="A18" t="s">
        <v>57</v>
      </c>
      <c r="B18" s="5">
        <v>45875.49450458333</v>
      </c>
      <c r="C18" s="5">
        <v>45880.346445115742</v>
      </c>
      <c r="D18" t="s">
        <v>13</v>
      </c>
      <c r="E18" t="s">
        <v>35</v>
      </c>
      <c r="F18" t="s">
        <v>58</v>
      </c>
      <c r="G18" t="s">
        <v>29</v>
      </c>
      <c r="H18" s="7">
        <f>(Table2[[#This Row],[resolution_date]]-Table2[[#This Row],[submission_date]])*24</f>
        <v>116.44657277787337</v>
      </c>
      <c r="I18" t="str">
        <f>TEXT(Table2[[#This Row],[submission_date]],"ddd")</f>
        <v>Wed</v>
      </c>
      <c r="J18" t="str">
        <f>TEXT(Table2[[#This Row],[submission_date]],"mmm")</f>
        <v>Aug</v>
      </c>
      <c r="K18">
        <f>HOUR(Table2[[#This Row],[resolution_date]])</f>
        <v>8</v>
      </c>
    </row>
    <row r="19" spans="1:11" x14ac:dyDescent="0.3">
      <c r="A19" t="s">
        <v>59</v>
      </c>
      <c r="B19" s="5">
        <v>45838.695992071756</v>
      </c>
      <c r="C19" s="5">
        <v>45840.859242071761</v>
      </c>
      <c r="D19" t="s">
        <v>60</v>
      </c>
      <c r="E19" t="s">
        <v>9</v>
      </c>
      <c r="F19" t="s">
        <v>61</v>
      </c>
      <c r="G19" t="s">
        <v>29</v>
      </c>
      <c r="H19" s="7">
        <f>(Table2[[#This Row],[resolution_date]]-Table2[[#This Row],[submission_date]])*24</f>
        <v>51.918000000121538</v>
      </c>
      <c r="I19" t="str">
        <f>TEXT(Table2[[#This Row],[submission_date]],"ddd")</f>
        <v>Mon</v>
      </c>
      <c r="J19" t="str">
        <f>TEXT(Table2[[#This Row],[submission_date]],"mmm")</f>
        <v>Jun</v>
      </c>
      <c r="K19">
        <f>HOUR(Table2[[#This Row],[resolution_date]])</f>
        <v>20</v>
      </c>
    </row>
    <row r="20" spans="1:11" x14ac:dyDescent="0.3">
      <c r="A20" t="s">
        <v>62</v>
      </c>
      <c r="B20" s="5">
        <v>45838.960468067133</v>
      </c>
      <c r="C20" s="5">
        <v>45842.491957118058</v>
      </c>
      <c r="D20" t="s">
        <v>45</v>
      </c>
      <c r="E20" t="s">
        <v>22</v>
      </c>
      <c r="F20" t="s">
        <v>63</v>
      </c>
      <c r="G20" t="s">
        <v>29</v>
      </c>
      <c r="H20" s="7">
        <f>(Table2[[#This Row],[resolution_date]]-Table2[[#This Row],[submission_date]])*24</f>
        <v>84.755737222207244</v>
      </c>
      <c r="I20" t="str">
        <f>TEXT(Table2[[#This Row],[submission_date]],"ddd")</f>
        <v>Mon</v>
      </c>
      <c r="J20" t="str">
        <f>TEXT(Table2[[#This Row],[submission_date]],"mmm")</f>
        <v>Jun</v>
      </c>
      <c r="K20">
        <f>HOUR(Table2[[#This Row],[resolution_date]])</f>
        <v>11</v>
      </c>
    </row>
    <row r="21" spans="1:11" x14ac:dyDescent="0.3">
      <c r="A21" t="s">
        <v>64</v>
      </c>
      <c r="B21" s="5">
        <v>45841.310591307869</v>
      </c>
      <c r="C21" s="5">
        <v>45842.999058043984</v>
      </c>
      <c r="D21" t="s">
        <v>21</v>
      </c>
      <c r="E21" t="s">
        <v>22</v>
      </c>
      <c r="F21" t="s">
        <v>65</v>
      </c>
      <c r="G21" t="s">
        <v>16</v>
      </c>
      <c r="H21" s="7">
        <f>(Table2[[#This Row],[resolution_date]]-Table2[[#This Row],[submission_date]])*24</f>
        <v>40.523201666772366</v>
      </c>
      <c r="I21" t="str">
        <f>TEXT(Table2[[#This Row],[submission_date]],"ddd")</f>
        <v>Thu</v>
      </c>
      <c r="J21" t="str">
        <f>TEXT(Table2[[#This Row],[submission_date]],"mmm")</f>
        <v>Jul</v>
      </c>
      <c r="K21">
        <f>HOUR(Table2[[#This Row],[resolution_date]])</f>
        <v>23</v>
      </c>
    </row>
    <row r="22" spans="1:11" x14ac:dyDescent="0.3">
      <c r="A22" t="s">
        <v>66</v>
      </c>
      <c r="B22" s="5">
        <v>45831.951130162037</v>
      </c>
      <c r="C22" s="5">
        <v>45833.462965312501</v>
      </c>
      <c r="D22" t="s">
        <v>13</v>
      </c>
      <c r="E22" t="s">
        <v>14</v>
      </c>
      <c r="F22" t="s">
        <v>67</v>
      </c>
      <c r="G22" t="s">
        <v>16</v>
      </c>
      <c r="H22" s="7">
        <f>(Table2[[#This Row],[resolution_date]]-Table2[[#This Row],[submission_date]])*24</f>
        <v>36.284043611143716</v>
      </c>
      <c r="I22" t="str">
        <f>TEXT(Table2[[#This Row],[submission_date]],"ddd")</f>
        <v>Mon</v>
      </c>
      <c r="J22" t="str">
        <f>TEXT(Table2[[#This Row],[submission_date]],"mmm")</f>
        <v>Jun</v>
      </c>
      <c r="K22">
        <f>HOUR(Table2[[#This Row],[resolution_date]])</f>
        <v>11</v>
      </c>
    </row>
    <row r="23" spans="1:11" x14ac:dyDescent="0.3">
      <c r="A23" t="s">
        <v>68</v>
      </c>
      <c r="B23" s="5">
        <v>45846.482601527779</v>
      </c>
      <c r="C23" s="5">
        <v>45848.392504687501</v>
      </c>
      <c r="D23" t="s">
        <v>13</v>
      </c>
      <c r="E23" t="s">
        <v>9</v>
      </c>
      <c r="F23" t="s">
        <v>69</v>
      </c>
      <c r="G23" t="s">
        <v>16</v>
      </c>
      <c r="H23" s="7">
        <f>(Table2[[#This Row],[resolution_date]]-Table2[[#This Row],[submission_date]])*24</f>
        <v>45.837675833317917</v>
      </c>
      <c r="I23" t="str">
        <f>TEXT(Table2[[#This Row],[submission_date]],"ddd")</f>
        <v>Tue</v>
      </c>
      <c r="J23" t="str">
        <f>TEXT(Table2[[#This Row],[submission_date]],"mmm")</f>
        <v>Jul</v>
      </c>
      <c r="K23">
        <f>HOUR(Table2[[#This Row],[resolution_date]])</f>
        <v>9</v>
      </c>
    </row>
    <row r="24" spans="1:11" x14ac:dyDescent="0.3">
      <c r="A24" t="s">
        <v>70</v>
      </c>
      <c r="B24" s="5">
        <v>45830.978999976855</v>
      </c>
      <c r="C24" s="5">
        <v>45831.690442743056</v>
      </c>
      <c r="D24" t="s">
        <v>13</v>
      </c>
      <c r="E24" t="s">
        <v>42</v>
      </c>
      <c r="F24" t="s">
        <v>71</v>
      </c>
      <c r="G24" t="s">
        <v>16</v>
      </c>
      <c r="H24" s="7">
        <f>(Table2[[#This Row],[resolution_date]]-Table2[[#This Row],[submission_date]])*24</f>
        <v>17.074626388843171</v>
      </c>
      <c r="I24" t="str">
        <f>TEXT(Table2[[#This Row],[submission_date]],"ddd")</f>
        <v>Sun</v>
      </c>
      <c r="J24" t="str">
        <f>TEXT(Table2[[#This Row],[submission_date]],"mmm")</f>
        <v>Jun</v>
      </c>
      <c r="K24">
        <f>HOUR(Table2[[#This Row],[resolution_date]])</f>
        <v>16</v>
      </c>
    </row>
    <row r="25" spans="1:11" x14ac:dyDescent="0.3">
      <c r="A25" t="s">
        <v>72</v>
      </c>
      <c r="B25" s="5">
        <v>45898.519360115744</v>
      </c>
      <c r="C25" s="5">
        <v>45900.18315665509</v>
      </c>
      <c r="D25" t="s">
        <v>13</v>
      </c>
      <c r="E25" t="s">
        <v>25</v>
      </c>
      <c r="F25" t="s">
        <v>73</v>
      </c>
      <c r="G25" t="s">
        <v>16</v>
      </c>
      <c r="H25" s="7">
        <f>(Table2[[#This Row],[resolution_date]]-Table2[[#This Row],[submission_date]])*24</f>
        <v>39.931116944295354</v>
      </c>
      <c r="I25" t="str">
        <f>TEXT(Table2[[#This Row],[submission_date]],"ddd")</f>
        <v>Fri</v>
      </c>
      <c r="J25" t="str">
        <f>TEXT(Table2[[#This Row],[submission_date]],"mmm")</f>
        <v>Aug</v>
      </c>
      <c r="K25">
        <f>HOUR(Table2[[#This Row],[resolution_date]])</f>
        <v>4</v>
      </c>
    </row>
    <row r="26" spans="1:11" x14ac:dyDescent="0.3">
      <c r="A26" t="s">
        <v>74</v>
      </c>
      <c r="B26" s="5">
        <v>45850.151124652781</v>
      </c>
      <c r="C26" s="5">
        <v>45854.404572488427</v>
      </c>
      <c r="D26" t="s">
        <v>45</v>
      </c>
      <c r="E26" t="s">
        <v>22</v>
      </c>
      <c r="F26" t="s">
        <v>75</v>
      </c>
      <c r="G26" t="s">
        <v>29</v>
      </c>
      <c r="H26" s="7">
        <f>(Table2[[#This Row],[resolution_date]]-Table2[[#This Row],[submission_date]])*24</f>
        <v>102.08274805551628</v>
      </c>
      <c r="I26" t="str">
        <f>TEXT(Table2[[#This Row],[submission_date]],"ddd")</f>
        <v>Sat</v>
      </c>
      <c r="J26" t="str">
        <f>TEXT(Table2[[#This Row],[submission_date]],"mmm")</f>
        <v>Jul</v>
      </c>
      <c r="K26">
        <f>HOUR(Table2[[#This Row],[resolution_date]])</f>
        <v>9</v>
      </c>
    </row>
    <row r="27" spans="1:11" x14ac:dyDescent="0.3">
      <c r="A27" t="s">
        <v>76</v>
      </c>
      <c r="B27" s="5">
        <v>45851.238076643516</v>
      </c>
      <c r="C27" s="5">
        <v>45852.816654155089</v>
      </c>
      <c r="D27" t="s">
        <v>13</v>
      </c>
      <c r="E27" t="s">
        <v>14</v>
      </c>
      <c r="F27" t="s">
        <v>77</v>
      </c>
      <c r="G27" t="s">
        <v>16</v>
      </c>
      <c r="H27" s="7">
        <f>(Table2[[#This Row],[resolution_date]]-Table2[[#This Row],[submission_date]])*24</f>
        <v>37.88586027774727</v>
      </c>
      <c r="I27" t="str">
        <f>TEXT(Table2[[#This Row],[submission_date]],"ddd")</f>
        <v>Sun</v>
      </c>
      <c r="J27" t="str">
        <f>TEXT(Table2[[#This Row],[submission_date]],"mmm")</f>
        <v>Jul</v>
      </c>
      <c r="K27">
        <f>HOUR(Table2[[#This Row],[resolution_date]])</f>
        <v>19</v>
      </c>
    </row>
    <row r="28" spans="1:11" x14ac:dyDescent="0.3">
      <c r="A28" t="s">
        <v>78</v>
      </c>
      <c r="B28" s="5">
        <v>45832.01864923611</v>
      </c>
      <c r="C28" s="5">
        <v>45832.510323969909</v>
      </c>
      <c r="D28" t="s">
        <v>45</v>
      </c>
      <c r="E28" t="s">
        <v>25</v>
      </c>
      <c r="F28" t="s">
        <v>79</v>
      </c>
      <c r="G28" t="s">
        <v>11</v>
      </c>
      <c r="H28" s="7">
        <f>(Table2[[#This Row],[resolution_date]]-Table2[[#This Row],[submission_date]])*24</f>
        <v>11.800193611183204</v>
      </c>
      <c r="I28" t="str">
        <f>TEXT(Table2[[#This Row],[submission_date]],"ddd")</f>
        <v>Tue</v>
      </c>
      <c r="J28" t="str">
        <f>TEXT(Table2[[#This Row],[submission_date]],"mmm")</f>
        <v>Jun</v>
      </c>
      <c r="K28">
        <f>HOUR(Table2[[#This Row],[resolution_date]])</f>
        <v>12</v>
      </c>
    </row>
    <row r="29" spans="1:11" x14ac:dyDescent="0.3">
      <c r="A29" t="s">
        <v>80</v>
      </c>
      <c r="B29" s="5">
        <v>45841.81186765046</v>
      </c>
      <c r="C29" s="5">
        <v>45843.718911377313</v>
      </c>
      <c r="D29" t="s">
        <v>81</v>
      </c>
      <c r="E29" t="s">
        <v>14</v>
      </c>
      <c r="F29" t="s">
        <v>82</v>
      </c>
      <c r="G29" t="s">
        <v>16</v>
      </c>
      <c r="H29" s="7">
        <f>(Table2[[#This Row],[resolution_date]]-Table2[[#This Row],[submission_date]])*24</f>
        <v>45.769049444468692</v>
      </c>
      <c r="I29" t="str">
        <f>TEXT(Table2[[#This Row],[submission_date]],"ddd")</f>
        <v>Thu</v>
      </c>
      <c r="J29" t="str">
        <f>TEXT(Table2[[#This Row],[submission_date]],"mmm")</f>
        <v>Jul</v>
      </c>
      <c r="K29">
        <f>HOUR(Table2[[#This Row],[resolution_date]])</f>
        <v>17</v>
      </c>
    </row>
    <row r="30" spans="1:11" x14ac:dyDescent="0.3">
      <c r="A30" t="s">
        <v>83</v>
      </c>
      <c r="B30" s="5">
        <v>45915.543717083332</v>
      </c>
      <c r="C30" s="5">
        <v>45917.331455462961</v>
      </c>
      <c r="D30" t="s">
        <v>8</v>
      </c>
      <c r="E30" t="s">
        <v>9</v>
      </c>
      <c r="F30" t="s">
        <v>84</v>
      </c>
      <c r="G30" t="s">
        <v>29</v>
      </c>
      <c r="H30" s="7">
        <f>(Table2[[#This Row],[resolution_date]]-Table2[[#This Row],[submission_date]])*24</f>
        <v>42.905721111106686</v>
      </c>
      <c r="I30" t="str">
        <f>TEXT(Table2[[#This Row],[submission_date]],"ddd")</f>
        <v>Mon</v>
      </c>
      <c r="J30" t="str">
        <f>TEXT(Table2[[#This Row],[submission_date]],"mmm")</f>
        <v>Sep</v>
      </c>
      <c r="K30">
        <f>HOUR(Table2[[#This Row],[resolution_date]])</f>
        <v>7</v>
      </c>
    </row>
    <row r="31" spans="1:11" x14ac:dyDescent="0.3">
      <c r="A31" t="s">
        <v>85</v>
      </c>
      <c r="B31" s="5">
        <v>45896.914734548613</v>
      </c>
      <c r="C31" s="5">
        <v>45898.277047488424</v>
      </c>
      <c r="D31" t="s">
        <v>13</v>
      </c>
      <c r="E31" t="s">
        <v>18</v>
      </c>
      <c r="F31" t="s">
        <v>86</v>
      </c>
      <c r="G31" t="s">
        <v>16</v>
      </c>
      <c r="H31" s="7">
        <f>(Table2[[#This Row],[resolution_date]]-Table2[[#This Row],[submission_date]])*24</f>
        <v>32.695510555466171</v>
      </c>
      <c r="I31" t="str">
        <f>TEXT(Table2[[#This Row],[submission_date]],"ddd")</f>
        <v>Wed</v>
      </c>
      <c r="J31" t="str">
        <f>TEXT(Table2[[#This Row],[submission_date]],"mmm")</f>
        <v>Aug</v>
      </c>
      <c r="K31">
        <f>HOUR(Table2[[#This Row],[resolution_date]])</f>
        <v>6</v>
      </c>
    </row>
    <row r="32" spans="1:11" x14ac:dyDescent="0.3">
      <c r="A32" t="s">
        <v>87</v>
      </c>
      <c r="B32" s="5">
        <v>45899.845190624997</v>
      </c>
      <c r="C32" s="5">
        <v>45906.109850624998</v>
      </c>
      <c r="D32" t="s">
        <v>45</v>
      </c>
      <c r="E32" t="s">
        <v>18</v>
      </c>
      <c r="F32" t="s">
        <v>88</v>
      </c>
      <c r="G32" t="s">
        <v>29</v>
      </c>
      <c r="H32" s="7">
        <f>(Table2[[#This Row],[resolution_date]]-Table2[[#This Row],[submission_date]])*24</f>
        <v>150.35184000001755</v>
      </c>
      <c r="I32" t="str">
        <f>TEXT(Table2[[#This Row],[submission_date]],"ddd")</f>
        <v>Sat</v>
      </c>
      <c r="J32" t="str">
        <f>TEXT(Table2[[#This Row],[submission_date]],"mmm")</f>
        <v>Aug</v>
      </c>
      <c r="K32">
        <f>HOUR(Table2[[#This Row],[resolution_date]])</f>
        <v>2</v>
      </c>
    </row>
    <row r="33" spans="1:11" x14ac:dyDescent="0.3">
      <c r="A33" t="s">
        <v>89</v>
      </c>
      <c r="B33" s="5">
        <v>45893.999277337964</v>
      </c>
      <c r="C33" s="5">
        <v>45894.316192916667</v>
      </c>
      <c r="D33" t="s">
        <v>13</v>
      </c>
      <c r="E33" t="s">
        <v>14</v>
      </c>
      <c r="F33" t="s">
        <v>90</v>
      </c>
      <c r="G33" t="s">
        <v>11</v>
      </c>
      <c r="H33" s="7">
        <f>(Table2[[#This Row],[resolution_date]]-Table2[[#This Row],[submission_date]])*24</f>
        <v>7.6059738888870925</v>
      </c>
      <c r="I33" t="str">
        <f>TEXT(Table2[[#This Row],[submission_date]],"ddd")</f>
        <v>Sun</v>
      </c>
      <c r="J33" t="str">
        <f>TEXT(Table2[[#This Row],[submission_date]],"mmm")</f>
        <v>Aug</v>
      </c>
      <c r="K33">
        <f>HOUR(Table2[[#This Row],[resolution_date]])</f>
        <v>7</v>
      </c>
    </row>
    <row r="34" spans="1:11" x14ac:dyDescent="0.3">
      <c r="A34" t="s">
        <v>91</v>
      </c>
      <c r="B34" s="5">
        <v>45849.75739244213</v>
      </c>
      <c r="C34" s="5">
        <v>45855.27821527778</v>
      </c>
      <c r="D34" t="s">
        <v>45</v>
      </c>
      <c r="E34" t="s">
        <v>35</v>
      </c>
      <c r="F34" t="s">
        <v>92</v>
      </c>
      <c r="G34" t="s">
        <v>29</v>
      </c>
      <c r="H34" s="7">
        <f>(Table2[[#This Row],[resolution_date]]-Table2[[#This Row],[submission_date]])*24</f>
        <v>132.49974805559032</v>
      </c>
      <c r="I34" t="str">
        <f>TEXT(Table2[[#This Row],[submission_date]],"ddd")</f>
        <v>Fri</v>
      </c>
      <c r="J34" t="str">
        <f>TEXT(Table2[[#This Row],[submission_date]],"mmm")</f>
        <v>Jul</v>
      </c>
      <c r="K34">
        <f>HOUR(Table2[[#This Row],[resolution_date]])</f>
        <v>6</v>
      </c>
    </row>
    <row r="35" spans="1:11" x14ac:dyDescent="0.3">
      <c r="A35" t="s">
        <v>93</v>
      </c>
      <c r="B35" s="5">
        <v>45904.814613437498</v>
      </c>
      <c r="C35" s="5">
        <v>45910.228323379626</v>
      </c>
      <c r="D35" t="s">
        <v>81</v>
      </c>
      <c r="E35" t="s">
        <v>32</v>
      </c>
      <c r="F35" t="s">
        <v>94</v>
      </c>
      <c r="G35" t="s">
        <v>29</v>
      </c>
      <c r="H35" s="7">
        <f>(Table2[[#This Row],[resolution_date]]-Table2[[#This Row],[submission_date]])*24</f>
        <v>129.92903861106606</v>
      </c>
      <c r="I35" t="str">
        <f>TEXT(Table2[[#This Row],[submission_date]],"ddd")</f>
        <v>Thu</v>
      </c>
      <c r="J35" t="str">
        <f>TEXT(Table2[[#This Row],[submission_date]],"mmm")</f>
        <v>Sep</v>
      </c>
      <c r="K35">
        <f>HOUR(Table2[[#This Row],[resolution_date]])</f>
        <v>5</v>
      </c>
    </row>
    <row r="36" spans="1:11" x14ac:dyDescent="0.3">
      <c r="A36" t="s">
        <v>95</v>
      </c>
      <c r="B36" s="5">
        <v>45893.712596354169</v>
      </c>
      <c r="C36" s="5">
        <v>45899.821769236114</v>
      </c>
      <c r="D36" t="s">
        <v>13</v>
      </c>
      <c r="E36" t="s">
        <v>25</v>
      </c>
      <c r="F36" t="s">
        <v>96</v>
      </c>
      <c r="G36" t="s">
        <v>29</v>
      </c>
      <c r="H36" s="7">
        <f>(Table2[[#This Row],[resolution_date]]-Table2[[#This Row],[submission_date]])*24</f>
        <v>146.62014916667249</v>
      </c>
      <c r="I36" t="str">
        <f>TEXT(Table2[[#This Row],[submission_date]],"ddd")</f>
        <v>Sun</v>
      </c>
      <c r="J36" t="str">
        <f>TEXT(Table2[[#This Row],[submission_date]],"mmm")</f>
        <v>Aug</v>
      </c>
      <c r="K36">
        <f>HOUR(Table2[[#This Row],[resolution_date]])</f>
        <v>19</v>
      </c>
    </row>
    <row r="37" spans="1:11" x14ac:dyDescent="0.3">
      <c r="A37" t="s">
        <v>97</v>
      </c>
      <c r="B37" s="5">
        <v>45838.741699282407</v>
      </c>
      <c r="C37" s="5">
        <v>45839.817210752313</v>
      </c>
      <c r="D37" t="s">
        <v>21</v>
      </c>
      <c r="E37" t="s">
        <v>14</v>
      </c>
      <c r="F37" t="s">
        <v>98</v>
      </c>
      <c r="G37" t="s">
        <v>29</v>
      </c>
      <c r="H37" s="7">
        <f>(Table2[[#This Row],[resolution_date]]-Table2[[#This Row],[submission_date]])*24</f>
        <v>25.812275277741719</v>
      </c>
      <c r="I37" t="str">
        <f>TEXT(Table2[[#This Row],[submission_date]],"ddd")</f>
        <v>Mon</v>
      </c>
      <c r="J37" t="str">
        <f>TEXT(Table2[[#This Row],[submission_date]],"mmm")</f>
        <v>Jun</v>
      </c>
      <c r="K37">
        <f>HOUR(Table2[[#This Row],[resolution_date]])</f>
        <v>19</v>
      </c>
    </row>
    <row r="38" spans="1:11" x14ac:dyDescent="0.3">
      <c r="A38" t="s">
        <v>99</v>
      </c>
      <c r="B38" s="5">
        <v>45909.36557869213</v>
      </c>
      <c r="C38" s="5">
        <v>45913.263069328706</v>
      </c>
      <c r="D38" t="s">
        <v>13</v>
      </c>
      <c r="E38" t="s">
        <v>46</v>
      </c>
      <c r="F38" t="s">
        <v>100</v>
      </c>
      <c r="G38" t="s">
        <v>29</v>
      </c>
      <c r="H38" s="7">
        <f>(Table2[[#This Row],[resolution_date]]-Table2[[#This Row],[submission_date]])*24</f>
        <v>93.53977527783718</v>
      </c>
      <c r="I38" t="str">
        <f>TEXT(Table2[[#This Row],[submission_date]],"ddd")</f>
        <v>Tue</v>
      </c>
      <c r="J38" t="str">
        <f>TEXT(Table2[[#This Row],[submission_date]],"mmm")</f>
        <v>Sep</v>
      </c>
      <c r="K38">
        <f>HOUR(Table2[[#This Row],[resolution_date]])</f>
        <v>6</v>
      </c>
    </row>
    <row r="39" spans="1:11" x14ac:dyDescent="0.3">
      <c r="A39" t="s">
        <v>101</v>
      </c>
      <c r="B39" s="5">
        <v>45880.455971180556</v>
      </c>
      <c r="C39" s="5">
        <v>45886.671748993052</v>
      </c>
      <c r="D39" t="s">
        <v>8</v>
      </c>
      <c r="E39" t="s">
        <v>42</v>
      </c>
      <c r="F39" t="s">
        <v>102</v>
      </c>
      <c r="G39" t="s">
        <v>29</v>
      </c>
      <c r="H39" s="7">
        <f>(Table2[[#This Row],[resolution_date]]-Table2[[#This Row],[submission_date]])*24</f>
        <v>149.17866749991663</v>
      </c>
      <c r="I39" t="str">
        <f>TEXT(Table2[[#This Row],[submission_date]],"ddd")</f>
        <v>Mon</v>
      </c>
      <c r="J39" t="str">
        <f>TEXT(Table2[[#This Row],[submission_date]],"mmm")</f>
        <v>Aug</v>
      </c>
      <c r="K39">
        <f>HOUR(Table2[[#This Row],[resolution_date]])</f>
        <v>16</v>
      </c>
    </row>
    <row r="40" spans="1:11" x14ac:dyDescent="0.3">
      <c r="A40" t="s">
        <v>103</v>
      </c>
      <c r="B40" s="5">
        <v>45901.680695057868</v>
      </c>
      <c r="C40" s="5">
        <v>45902.113242870371</v>
      </c>
      <c r="D40" t="s">
        <v>13</v>
      </c>
      <c r="E40" t="s">
        <v>32</v>
      </c>
      <c r="F40" t="s">
        <v>104</v>
      </c>
      <c r="G40" t="s">
        <v>16</v>
      </c>
      <c r="H40" s="7">
        <f>(Table2[[#This Row],[resolution_date]]-Table2[[#This Row],[submission_date]])*24</f>
        <v>10.381147500069346</v>
      </c>
      <c r="I40" t="str">
        <f>TEXT(Table2[[#This Row],[submission_date]],"ddd")</f>
        <v>Mon</v>
      </c>
      <c r="J40" t="str">
        <f>TEXT(Table2[[#This Row],[submission_date]],"mmm")</f>
        <v>Sep</v>
      </c>
      <c r="K40">
        <f>HOUR(Table2[[#This Row],[resolution_date]])</f>
        <v>2</v>
      </c>
    </row>
    <row r="41" spans="1:11" x14ac:dyDescent="0.3">
      <c r="A41" t="s">
        <v>105</v>
      </c>
      <c r="B41" s="5">
        <v>45883.854248391202</v>
      </c>
      <c r="C41" s="5">
        <v>45884.364103043983</v>
      </c>
      <c r="D41" t="s">
        <v>31</v>
      </c>
      <c r="E41" t="s">
        <v>35</v>
      </c>
      <c r="F41" t="s">
        <v>106</v>
      </c>
      <c r="G41" t="s">
        <v>16</v>
      </c>
      <c r="H41" s="7">
        <f>(Table2[[#This Row],[resolution_date]]-Table2[[#This Row],[submission_date]])*24</f>
        <v>12.236511666735169</v>
      </c>
      <c r="I41" t="str">
        <f>TEXT(Table2[[#This Row],[submission_date]],"ddd")</f>
        <v>Thu</v>
      </c>
      <c r="J41" t="str">
        <f>TEXT(Table2[[#This Row],[submission_date]],"mmm")</f>
        <v>Aug</v>
      </c>
      <c r="K41">
        <f>HOUR(Table2[[#This Row],[resolution_date]])</f>
        <v>8</v>
      </c>
    </row>
    <row r="42" spans="1:11" x14ac:dyDescent="0.3">
      <c r="A42" t="s">
        <v>107</v>
      </c>
      <c r="B42" s="5">
        <v>45905.24280886574</v>
      </c>
      <c r="C42" s="5">
        <v>45906.957953680554</v>
      </c>
      <c r="D42" t="s">
        <v>45</v>
      </c>
      <c r="E42" t="s">
        <v>9</v>
      </c>
      <c r="F42" t="s">
        <v>108</v>
      </c>
      <c r="G42" t="s">
        <v>16</v>
      </c>
      <c r="H42" s="7">
        <f>(Table2[[#This Row],[resolution_date]]-Table2[[#This Row],[submission_date]])*24</f>
        <v>41.163475555542391</v>
      </c>
      <c r="I42" t="str">
        <f>TEXT(Table2[[#This Row],[submission_date]],"ddd")</f>
        <v>Fri</v>
      </c>
      <c r="J42" t="str">
        <f>TEXT(Table2[[#This Row],[submission_date]],"mmm")</f>
        <v>Sep</v>
      </c>
      <c r="K42">
        <f>HOUR(Table2[[#This Row],[resolution_date]])</f>
        <v>22</v>
      </c>
    </row>
    <row r="43" spans="1:11" x14ac:dyDescent="0.3">
      <c r="A43" t="s">
        <v>109</v>
      </c>
      <c r="B43" s="5">
        <v>45913.768400347224</v>
      </c>
      <c r="C43" s="5">
        <v>45914.807395509262</v>
      </c>
      <c r="D43" t="s">
        <v>21</v>
      </c>
      <c r="E43" t="s">
        <v>14</v>
      </c>
      <c r="F43" t="s">
        <v>110</v>
      </c>
      <c r="G43" t="s">
        <v>29</v>
      </c>
      <c r="H43" s="7">
        <f>(Table2[[#This Row],[resolution_date]]-Table2[[#This Row],[submission_date]])*24</f>
        <v>24.935883888916578</v>
      </c>
      <c r="I43" t="str">
        <f>TEXT(Table2[[#This Row],[submission_date]],"ddd")</f>
        <v>Sat</v>
      </c>
      <c r="J43" t="str">
        <f>TEXT(Table2[[#This Row],[submission_date]],"mmm")</f>
        <v>Sep</v>
      </c>
      <c r="K43">
        <f>HOUR(Table2[[#This Row],[resolution_date]])</f>
        <v>19</v>
      </c>
    </row>
    <row r="44" spans="1:11" ht="28.8" x14ac:dyDescent="0.3">
      <c r="A44" t="s">
        <v>111</v>
      </c>
      <c r="B44" s="5">
        <v>45866.029443506945</v>
      </c>
      <c r="C44" s="5">
        <v>45872.45864300926</v>
      </c>
      <c r="D44" t="s">
        <v>81</v>
      </c>
      <c r="E44" t="s">
        <v>55</v>
      </c>
      <c r="F44" s="2" t="s">
        <v>112</v>
      </c>
      <c r="G44" t="s">
        <v>29</v>
      </c>
      <c r="H44" s="7">
        <f>(Table2[[#This Row],[resolution_date]]-Table2[[#This Row],[submission_date]])*24</f>
        <v>154.30078805558151</v>
      </c>
      <c r="I44" t="str">
        <f>TEXT(Table2[[#This Row],[submission_date]],"ddd")</f>
        <v>Mon</v>
      </c>
      <c r="J44" t="str">
        <f>TEXT(Table2[[#This Row],[submission_date]],"mmm")</f>
        <v>Jul</v>
      </c>
      <c r="K44">
        <f>HOUR(Table2[[#This Row],[resolution_date]])</f>
        <v>11</v>
      </c>
    </row>
    <row r="45" spans="1:11" x14ac:dyDescent="0.3">
      <c r="A45" t="s">
        <v>113</v>
      </c>
      <c r="B45" s="5">
        <v>45868.901072280096</v>
      </c>
      <c r="C45" s="5">
        <v>45868.96509607639</v>
      </c>
      <c r="D45" t="s">
        <v>13</v>
      </c>
      <c r="E45" t="s">
        <v>35</v>
      </c>
      <c r="F45" t="s">
        <v>114</v>
      </c>
      <c r="G45" t="s">
        <v>115</v>
      </c>
      <c r="H45" s="7">
        <f>(Table2[[#This Row],[resolution_date]]-Table2[[#This Row],[submission_date]])*24</f>
        <v>1.5365711110644042</v>
      </c>
      <c r="I45" t="str">
        <f>TEXT(Table2[[#This Row],[submission_date]],"ddd")</f>
        <v>Wed</v>
      </c>
      <c r="J45" t="str">
        <f>TEXT(Table2[[#This Row],[submission_date]],"mmm")</f>
        <v>Jul</v>
      </c>
      <c r="K45">
        <f>HOUR(Table2[[#This Row],[resolution_date]])</f>
        <v>23</v>
      </c>
    </row>
    <row r="46" spans="1:11" x14ac:dyDescent="0.3">
      <c r="A46" t="s">
        <v>116</v>
      </c>
      <c r="B46" s="5">
        <v>45872.126770416668</v>
      </c>
      <c r="C46" s="5">
        <v>45872.29889071759</v>
      </c>
      <c r="D46" t="s">
        <v>21</v>
      </c>
      <c r="E46" t="s">
        <v>32</v>
      </c>
      <c r="F46" t="s">
        <v>117</v>
      </c>
      <c r="G46" t="s">
        <v>11</v>
      </c>
      <c r="H46" s="7">
        <f>(Table2[[#This Row],[resolution_date]]-Table2[[#This Row],[submission_date]])*24</f>
        <v>4.1308872221270576</v>
      </c>
      <c r="I46" t="str">
        <f>TEXT(Table2[[#This Row],[submission_date]],"ddd")</f>
        <v>Sun</v>
      </c>
      <c r="J46" t="str">
        <f>TEXT(Table2[[#This Row],[submission_date]],"mmm")</f>
        <v>Aug</v>
      </c>
      <c r="K46">
        <f>HOUR(Table2[[#This Row],[resolution_date]])</f>
        <v>7</v>
      </c>
    </row>
    <row r="47" spans="1:11" x14ac:dyDescent="0.3">
      <c r="A47" t="s">
        <v>118</v>
      </c>
      <c r="B47" s="5">
        <v>45843.404094467594</v>
      </c>
      <c r="C47" s="5">
        <v>45843.878437824074</v>
      </c>
      <c r="D47" t="s">
        <v>13</v>
      </c>
      <c r="E47" t="s">
        <v>14</v>
      </c>
      <c r="F47" t="s">
        <v>119</v>
      </c>
      <c r="G47" t="s">
        <v>11</v>
      </c>
      <c r="H47" s="7">
        <f>(Table2[[#This Row],[resolution_date]]-Table2[[#This Row],[submission_date]])*24</f>
        <v>11.384240555518772</v>
      </c>
      <c r="I47" t="str">
        <f>TEXT(Table2[[#This Row],[submission_date]],"ddd")</f>
        <v>Sat</v>
      </c>
      <c r="J47" t="str">
        <f>TEXT(Table2[[#This Row],[submission_date]],"mmm")</f>
        <v>Jul</v>
      </c>
      <c r="K47">
        <f>HOUR(Table2[[#This Row],[resolution_date]])</f>
        <v>21</v>
      </c>
    </row>
    <row r="48" spans="1:11" x14ac:dyDescent="0.3">
      <c r="A48" t="s">
        <v>120</v>
      </c>
      <c r="B48" s="5">
        <v>45899.571593854169</v>
      </c>
      <c r="C48" s="5">
        <v>45901.48748614583</v>
      </c>
      <c r="D48" t="s">
        <v>45</v>
      </c>
      <c r="E48" t="s">
        <v>25</v>
      </c>
      <c r="F48" t="s">
        <v>121</v>
      </c>
      <c r="G48" t="s">
        <v>16</v>
      </c>
      <c r="H48" s="7">
        <f>(Table2[[#This Row],[resolution_date]]-Table2[[#This Row],[submission_date]])*24</f>
        <v>45.981414999871049</v>
      </c>
      <c r="I48" t="str">
        <f>TEXT(Table2[[#This Row],[submission_date]],"ddd")</f>
        <v>Sat</v>
      </c>
      <c r="J48" t="str">
        <f>TEXT(Table2[[#This Row],[submission_date]],"mmm")</f>
        <v>Aug</v>
      </c>
      <c r="K48">
        <f>HOUR(Table2[[#This Row],[resolution_date]])</f>
        <v>11</v>
      </c>
    </row>
    <row r="49" spans="1:11" x14ac:dyDescent="0.3">
      <c r="A49" t="s">
        <v>122</v>
      </c>
      <c r="B49" s="5">
        <v>45830.641442060187</v>
      </c>
      <c r="C49" s="5">
        <v>45835.539807534726</v>
      </c>
      <c r="D49" t="s">
        <v>31</v>
      </c>
      <c r="E49" t="s">
        <v>14</v>
      </c>
      <c r="F49" t="s">
        <v>123</v>
      </c>
      <c r="G49" t="s">
        <v>29</v>
      </c>
      <c r="H49" s="7">
        <f>(Table2[[#This Row],[resolution_date]]-Table2[[#This Row],[submission_date]])*24</f>
        <v>117.56077138893306</v>
      </c>
      <c r="I49" t="str">
        <f>TEXT(Table2[[#This Row],[submission_date]],"ddd")</f>
        <v>Sun</v>
      </c>
      <c r="J49" t="str">
        <f>TEXT(Table2[[#This Row],[submission_date]],"mmm")</f>
        <v>Jun</v>
      </c>
      <c r="K49">
        <f>HOUR(Table2[[#This Row],[resolution_date]])</f>
        <v>12</v>
      </c>
    </row>
    <row r="50" spans="1:11" x14ac:dyDescent="0.3">
      <c r="A50" t="s">
        <v>124</v>
      </c>
      <c r="B50" s="5">
        <v>45841.133833182874</v>
      </c>
      <c r="C50" s="5">
        <v>45841.652713553238</v>
      </c>
      <c r="D50" t="s">
        <v>45</v>
      </c>
      <c r="E50" t="s">
        <v>14</v>
      </c>
      <c r="F50" t="s">
        <v>125</v>
      </c>
      <c r="G50" t="s">
        <v>16</v>
      </c>
      <c r="H50" s="7">
        <f>(Table2[[#This Row],[resolution_date]]-Table2[[#This Row],[submission_date]])*24</f>
        <v>12.45312888873741</v>
      </c>
      <c r="I50" t="str">
        <f>TEXT(Table2[[#This Row],[submission_date]],"ddd")</f>
        <v>Thu</v>
      </c>
      <c r="J50" t="str">
        <f>TEXT(Table2[[#This Row],[submission_date]],"mmm")</f>
        <v>Jul</v>
      </c>
      <c r="K50">
        <f>HOUR(Table2[[#This Row],[resolution_date]])</f>
        <v>15</v>
      </c>
    </row>
    <row r="51" spans="1:11" x14ac:dyDescent="0.3">
      <c r="A51" t="s">
        <v>126</v>
      </c>
      <c r="B51" s="5">
        <v>45878.743972037038</v>
      </c>
      <c r="C51" s="5">
        <v>45879.856085624997</v>
      </c>
      <c r="D51" t="s">
        <v>45</v>
      </c>
      <c r="E51" t="s">
        <v>14</v>
      </c>
      <c r="F51" t="s">
        <v>127</v>
      </c>
      <c r="G51" t="s">
        <v>16</v>
      </c>
      <c r="H51" s="7">
        <f>(Table2[[#This Row],[resolution_date]]-Table2[[#This Row],[submission_date]])*24</f>
        <v>26.690726111002732</v>
      </c>
      <c r="I51" t="str">
        <f>TEXT(Table2[[#This Row],[submission_date]],"ddd")</f>
        <v>Sat</v>
      </c>
      <c r="J51" t="str">
        <f>TEXT(Table2[[#This Row],[submission_date]],"mmm")</f>
        <v>Aug</v>
      </c>
      <c r="K51">
        <f>HOUR(Table2[[#This Row],[resolution_date]])</f>
        <v>20</v>
      </c>
    </row>
    <row r="52" spans="1:11" x14ac:dyDescent="0.3">
      <c r="A52" t="s">
        <v>128</v>
      </c>
      <c r="B52" s="5">
        <v>45861.349098321756</v>
      </c>
      <c r="C52" s="5">
        <v>45865.965208310183</v>
      </c>
      <c r="D52" t="s">
        <v>8</v>
      </c>
      <c r="E52" t="s">
        <v>22</v>
      </c>
      <c r="F52" t="s">
        <v>129</v>
      </c>
      <c r="G52" t="s">
        <v>29</v>
      </c>
      <c r="H52" s="7">
        <f>(Table2[[#This Row],[resolution_date]]-Table2[[#This Row],[submission_date]])*24</f>
        <v>110.78663972223876</v>
      </c>
      <c r="I52" t="str">
        <f>TEXT(Table2[[#This Row],[submission_date]],"ddd")</f>
        <v>Wed</v>
      </c>
      <c r="J52" t="str">
        <f>TEXT(Table2[[#This Row],[submission_date]],"mmm")</f>
        <v>Jul</v>
      </c>
      <c r="K52">
        <f>HOUR(Table2[[#This Row],[resolution_date]])</f>
        <v>23</v>
      </c>
    </row>
    <row r="53" spans="1:11" x14ac:dyDescent="0.3">
      <c r="A53" t="s">
        <v>130</v>
      </c>
      <c r="B53" s="5">
        <v>45869.827586620369</v>
      </c>
      <c r="C53" s="5">
        <v>45876.059095208337</v>
      </c>
      <c r="D53" t="s">
        <v>13</v>
      </c>
      <c r="E53" t="s">
        <v>14</v>
      </c>
      <c r="F53" t="s">
        <v>131</v>
      </c>
      <c r="G53" t="s">
        <v>29</v>
      </c>
      <c r="H53" s="7">
        <f>(Table2[[#This Row],[resolution_date]]-Table2[[#This Row],[submission_date]])*24</f>
        <v>149.55620611121412</v>
      </c>
      <c r="I53" t="str">
        <f>TEXT(Table2[[#This Row],[submission_date]],"ddd")</f>
        <v>Thu</v>
      </c>
      <c r="J53" t="str">
        <f>TEXT(Table2[[#This Row],[submission_date]],"mmm")</f>
        <v>Jul</v>
      </c>
      <c r="K53">
        <f>HOUR(Table2[[#This Row],[resolution_date]])</f>
        <v>1</v>
      </c>
    </row>
    <row r="54" spans="1:11" x14ac:dyDescent="0.3">
      <c r="A54" t="s">
        <v>132</v>
      </c>
      <c r="B54" s="5">
        <v>45837.098491828707</v>
      </c>
      <c r="C54" s="5">
        <v>45837.72761415509</v>
      </c>
      <c r="D54" t="s">
        <v>13</v>
      </c>
      <c r="E54" t="s">
        <v>22</v>
      </c>
      <c r="F54" t="s">
        <v>133</v>
      </c>
      <c r="G54" t="s">
        <v>16</v>
      </c>
      <c r="H54" s="7">
        <f>(Table2[[#This Row],[resolution_date]]-Table2[[#This Row],[submission_date]])*24</f>
        <v>15.098935833200812</v>
      </c>
      <c r="I54" t="str">
        <f>TEXT(Table2[[#This Row],[submission_date]],"ddd")</f>
        <v>Sun</v>
      </c>
      <c r="J54" t="str">
        <f>TEXT(Table2[[#This Row],[submission_date]],"mmm")</f>
        <v>Jun</v>
      </c>
      <c r="K54">
        <f>HOUR(Table2[[#This Row],[resolution_date]])</f>
        <v>17</v>
      </c>
    </row>
    <row r="55" spans="1:11" x14ac:dyDescent="0.3">
      <c r="A55" t="s">
        <v>134</v>
      </c>
      <c r="B55" s="5">
        <v>45884.862366689813</v>
      </c>
      <c r="C55" s="5">
        <v>45885.412255208335</v>
      </c>
      <c r="D55" t="s">
        <v>13</v>
      </c>
      <c r="E55" t="s">
        <v>14</v>
      </c>
      <c r="F55" t="s">
        <v>135</v>
      </c>
      <c r="G55" t="s">
        <v>16</v>
      </c>
      <c r="H55" s="7">
        <f>(Table2[[#This Row],[resolution_date]]-Table2[[#This Row],[submission_date]])*24</f>
        <v>13.197324444539845</v>
      </c>
      <c r="I55" t="str">
        <f>TEXT(Table2[[#This Row],[submission_date]],"ddd")</f>
        <v>Fri</v>
      </c>
      <c r="J55" t="str">
        <f>TEXT(Table2[[#This Row],[submission_date]],"mmm")</f>
        <v>Aug</v>
      </c>
      <c r="K55">
        <f>HOUR(Table2[[#This Row],[resolution_date]])</f>
        <v>9</v>
      </c>
    </row>
    <row r="56" spans="1:11" x14ac:dyDescent="0.3">
      <c r="A56" t="s">
        <v>136</v>
      </c>
      <c r="B56" s="5">
        <v>45853.375071770832</v>
      </c>
      <c r="C56" s="5">
        <v>45853.793861516206</v>
      </c>
      <c r="D56" t="s">
        <v>45</v>
      </c>
      <c r="E56" t="s">
        <v>18</v>
      </c>
      <c r="F56" t="s">
        <v>137</v>
      </c>
      <c r="G56" t="s">
        <v>11</v>
      </c>
      <c r="H56" s="7">
        <f>(Table2[[#This Row],[resolution_date]]-Table2[[#This Row],[submission_date]])*24</f>
        <v>10.050953888974618</v>
      </c>
      <c r="I56" t="str">
        <f>TEXT(Table2[[#This Row],[submission_date]],"ddd")</f>
        <v>Tue</v>
      </c>
      <c r="J56" t="str">
        <f>TEXT(Table2[[#This Row],[submission_date]],"mmm")</f>
        <v>Jul</v>
      </c>
      <c r="K56">
        <f>HOUR(Table2[[#This Row],[resolution_date]])</f>
        <v>19</v>
      </c>
    </row>
    <row r="57" spans="1:11" x14ac:dyDescent="0.3">
      <c r="A57" t="s">
        <v>138</v>
      </c>
      <c r="B57" s="5">
        <v>45829.046392881944</v>
      </c>
      <c r="C57" s="5">
        <v>45830.741530185187</v>
      </c>
      <c r="D57" t="s">
        <v>31</v>
      </c>
      <c r="E57" t="s">
        <v>14</v>
      </c>
      <c r="F57" t="s">
        <v>139</v>
      </c>
      <c r="G57" t="s">
        <v>16</v>
      </c>
      <c r="H57" s="7">
        <f>(Table2[[#This Row],[resolution_date]]-Table2[[#This Row],[submission_date]])*24</f>
        <v>40.683295277820434</v>
      </c>
      <c r="I57" t="str">
        <f>TEXT(Table2[[#This Row],[submission_date]],"ddd")</f>
        <v>Sat</v>
      </c>
      <c r="J57" t="str">
        <f>TEXT(Table2[[#This Row],[submission_date]],"mmm")</f>
        <v>Jun</v>
      </c>
      <c r="K57">
        <f>HOUR(Table2[[#This Row],[resolution_date]])</f>
        <v>17</v>
      </c>
    </row>
    <row r="58" spans="1:11" x14ac:dyDescent="0.3">
      <c r="A58" t="s">
        <v>140</v>
      </c>
      <c r="B58" s="5">
        <v>45871.327925046295</v>
      </c>
      <c r="C58" s="5">
        <v>45872.603165902779</v>
      </c>
      <c r="D58" t="s">
        <v>8</v>
      </c>
      <c r="E58" t="s">
        <v>22</v>
      </c>
      <c r="F58" t="s">
        <v>141</v>
      </c>
      <c r="G58" t="s">
        <v>16</v>
      </c>
      <c r="H58" s="7">
        <f>(Table2[[#This Row],[resolution_date]]-Table2[[#This Row],[submission_date]])*24</f>
        <v>30.605780555633828</v>
      </c>
      <c r="I58" t="str">
        <f>TEXT(Table2[[#This Row],[submission_date]],"ddd")</f>
        <v>Sat</v>
      </c>
      <c r="J58" t="str">
        <f>TEXT(Table2[[#This Row],[submission_date]],"mmm")</f>
        <v>Aug</v>
      </c>
      <c r="K58">
        <f>HOUR(Table2[[#This Row],[resolution_date]])</f>
        <v>14</v>
      </c>
    </row>
    <row r="59" spans="1:11" x14ac:dyDescent="0.3">
      <c r="A59" t="s">
        <v>142</v>
      </c>
      <c r="B59" s="5">
        <v>45860.353873182874</v>
      </c>
      <c r="C59" s="5">
        <v>45867.28399974537</v>
      </c>
      <c r="D59" t="s">
        <v>60</v>
      </c>
      <c r="E59" t="s">
        <v>35</v>
      </c>
      <c r="F59" t="s">
        <v>143</v>
      </c>
      <c r="G59" t="s">
        <v>29</v>
      </c>
      <c r="H59" s="7">
        <f>(Table2[[#This Row],[resolution_date]]-Table2[[#This Row],[submission_date]])*24</f>
        <v>166.32303749991115</v>
      </c>
      <c r="I59" t="str">
        <f>TEXT(Table2[[#This Row],[submission_date]],"ddd")</f>
        <v>Tue</v>
      </c>
      <c r="J59" t="str">
        <f>TEXT(Table2[[#This Row],[submission_date]],"mmm")</f>
        <v>Jul</v>
      </c>
      <c r="K59">
        <f>HOUR(Table2[[#This Row],[resolution_date]])</f>
        <v>6</v>
      </c>
    </row>
    <row r="60" spans="1:11" x14ac:dyDescent="0.3">
      <c r="A60" t="s">
        <v>144</v>
      </c>
      <c r="B60" s="5">
        <v>45875.571420300927</v>
      </c>
      <c r="C60" s="5">
        <v>45877.303206296296</v>
      </c>
      <c r="D60" t="s">
        <v>8</v>
      </c>
      <c r="E60" t="s">
        <v>35</v>
      </c>
      <c r="F60" t="s">
        <v>145</v>
      </c>
      <c r="G60" t="s">
        <v>16</v>
      </c>
      <c r="H60" s="7">
        <f>(Table2[[#This Row],[resolution_date]]-Table2[[#This Row],[submission_date]])*24</f>
        <v>41.562863888859283</v>
      </c>
      <c r="I60" t="str">
        <f>TEXT(Table2[[#This Row],[submission_date]],"ddd")</f>
        <v>Wed</v>
      </c>
      <c r="J60" t="str">
        <f>TEXT(Table2[[#This Row],[submission_date]],"mmm")</f>
        <v>Aug</v>
      </c>
      <c r="K60">
        <f>HOUR(Table2[[#This Row],[resolution_date]])</f>
        <v>7</v>
      </c>
    </row>
    <row r="61" spans="1:11" x14ac:dyDescent="0.3">
      <c r="A61" t="s">
        <v>146</v>
      </c>
      <c r="B61" s="5">
        <v>45827.276196747684</v>
      </c>
      <c r="C61" s="5">
        <v>45828.595821400464</v>
      </c>
      <c r="D61" t="s">
        <v>13</v>
      </c>
      <c r="E61" t="s">
        <v>32</v>
      </c>
      <c r="F61" t="s">
        <v>147</v>
      </c>
      <c r="G61" t="s">
        <v>16</v>
      </c>
      <c r="H61" s="7">
        <f>(Table2[[#This Row],[resolution_date]]-Table2[[#This Row],[submission_date]])*24</f>
        <v>31.670991666731425</v>
      </c>
      <c r="I61" t="str">
        <f>TEXT(Table2[[#This Row],[submission_date]],"ddd")</f>
        <v>Thu</v>
      </c>
      <c r="J61" t="str">
        <f>TEXT(Table2[[#This Row],[submission_date]],"mmm")</f>
        <v>Jun</v>
      </c>
      <c r="K61">
        <f>HOUR(Table2[[#This Row],[resolution_date]])</f>
        <v>14</v>
      </c>
    </row>
    <row r="62" spans="1:11" x14ac:dyDescent="0.3">
      <c r="A62" t="s">
        <v>148</v>
      </c>
      <c r="B62" s="5">
        <v>45896.462244918985</v>
      </c>
      <c r="C62" s="5">
        <v>45897.49294236111</v>
      </c>
      <c r="D62" t="s">
        <v>21</v>
      </c>
      <c r="E62" t="s">
        <v>22</v>
      </c>
      <c r="F62" t="s">
        <v>149</v>
      </c>
      <c r="G62" t="s">
        <v>16</v>
      </c>
      <c r="H62" s="7">
        <f>(Table2[[#This Row],[resolution_date]]-Table2[[#This Row],[submission_date]])*24</f>
        <v>24.736738611012697</v>
      </c>
      <c r="I62" t="str">
        <f>TEXT(Table2[[#This Row],[submission_date]],"ddd")</f>
        <v>Wed</v>
      </c>
      <c r="J62" t="str">
        <f>TEXT(Table2[[#This Row],[submission_date]],"mmm")</f>
        <v>Aug</v>
      </c>
      <c r="K62">
        <f>HOUR(Table2[[#This Row],[resolution_date]])</f>
        <v>11</v>
      </c>
    </row>
    <row r="63" spans="1:11" x14ac:dyDescent="0.3">
      <c r="A63" t="s">
        <v>150</v>
      </c>
      <c r="B63" s="5">
        <v>45910.846970937499</v>
      </c>
      <c r="C63" s="5">
        <v>45912.419087835646</v>
      </c>
      <c r="D63" t="s">
        <v>13</v>
      </c>
      <c r="E63" t="s">
        <v>9</v>
      </c>
      <c r="F63" t="s">
        <v>151</v>
      </c>
      <c r="G63" t="s">
        <v>16</v>
      </c>
      <c r="H63" s="7">
        <f>(Table2[[#This Row],[resolution_date]]-Table2[[#This Row],[submission_date]])*24</f>
        <v>37.730805555533152</v>
      </c>
      <c r="I63" t="str">
        <f>TEXT(Table2[[#This Row],[submission_date]],"ddd")</f>
        <v>Wed</v>
      </c>
      <c r="J63" t="str">
        <f>TEXT(Table2[[#This Row],[submission_date]],"mmm")</f>
        <v>Sep</v>
      </c>
      <c r="K63">
        <f>HOUR(Table2[[#This Row],[resolution_date]])</f>
        <v>10</v>
      </c>
    </row>
    <row r="64" spans="1:11" x14ac:dyDescent="0.3">
      <c r="A64" t="s">
        <v>152</v>
      </c>
      <c r="B64" s="5">
        <v>45839.694215011572</v>
      </c>
      <c r="C64" s="5">
        <v>45840.681742858796</v>
      </c>
      <c r="D64" t="s">
        <v>13</v>
      </c>
      <c r="E64" t="s">
        <v>42</v>
      </c>
      <c r="F64" t="s">
        <v>153</v>
      </c>
      <c r="G64" t="s">
        <v>16</v>
      </c>
      <c r="H64" s="7">
        <f>(Table2[[#This Row],[resolution_date]]-Table2[[#This Row],[submission_date]])*24</f>
        <v>23.700668333389331</v>
      </c>
      <c r="I64" t="str">
        <f>TEXT(Table2[[#This Row],[submission_date]],"ddd")</f>
        <v>Tue</v>
      </c>
      <c r="J64" t="str">
        <f>TEXT(Table2[[#This Row],[submission_date]],"mmm")</f>
        <v>Jul</v>
      </c>
      <c r="K64">
        <f>HOUR(Table2[[#This Row],[resolution_date]])</f>
        <v>16</v>
      </c>
    </row>
    <row r="65" spans="1:11" x14ac:dyDescent="0.3">
      <c r="A65" t="s">
        <v>154</v>
      </c>
      <c r="B65" s="5">
        <v>45871.331352719906</v>
      </c>
      <c r="C65" s="5">
        <v>45871.66361797454</v>
      </c>
      <c r="D65" t="s">
        <v>31</v>
      </c>
      <c r="E65" t="s">
        <v>42</v>
      </c>
      <c r="F65" t="s">
        <v>155</v>
      </c>
      <c r="G65" t="s">
        <v>11</v>
      </c>
      <c r="H65" s="7">
        <f>(Table2[[#This Row],[resolution_date]]-Table2[[#This Row],[submission_date]])*24</f>
        <v>7.974366111215204</v>
      </c>
      <c r="I65" t="str">
        <f>TEXT(Table2[[#This Row],[submission_date]],"ddd")</f>
        <v>Sat</v>
      </c>
      <c r="J65" t="str">
        <f>TEXT(Table2[[#This Row],[submission_date]],"mmm")</f>
        <v>Aug</v>
      </c>
      <c r="K65">
        <f>HOUR(Table2[[#This Row],[resolution_date]])</f>
        <v>15</v>
      </c>
    </row>
    <row r="66" spans="1:11" x14ac:dyDescent="0.3">
      <c r="A66" t="s">
        <v>156</v>
      </c>
      <c r="B66" s="5">
        <v>45910.248753749998</v>
      </c>
      <c r="C66" s="5">
        <v>45910.584669618052</v>
      </c>
      <c r="D66" t="s">
        <v>31</v>
      </c>
      <c r="E66" t="s">
        <v>25</v>
      </c>
      <c r="F66" t="s">
        <v>157</v>
      </c>
      <c r="G66" t="s">
        <v>16</v>
      </c>
      <c r="H66" s="7">
        <f>(Table2[[#This Row],[resolution_date]]-Table2[[#This Row],[submission_date]])*24</f>
        <v>8.061980833299458</v>
      </c>
      <c r="I66" t="str">
        <f>TEXT(Table2[[#This Row],[submission_date]],"ddd")</f>
        <v>Wed</v>
      </c>
      <c r="J66" t="str">
        <f>TEXT(Table2[[#This Row],[submission_date]],"mmm")</f>
        <v>Sep</v>
      </c>
      <c r="K66">
        <f>HOUR(Table2[[#This Row],[resolution_date]])</f>
        <v>14</v>
      </c>
    </row>
    <row r="67" spans="1:11" x14ac:dyDescent="0.3">
      <c r="A67" t="s">
        <v>158</v>
      </c>
      <c r="B67" s="5">
        <v>45886.799485474534</v>
      </c>
      <c r="C67" s="5">
        <v>45887.413612974538</v>
      </c>
      <c r="D67" t="s">
        <v>45</v>
      </c>
      <c r="E67" t="s">
        <v>9</v>
      </c>
      <c r="F67" t="s">
        <v>159</v>
      </c>
      <c r="G67" t="s">
        <v>16</v>
      </c>
      <c r="H67" s="7">
        <f>(Table2[[#This Row],[resolution_date]]-Table2[[#This Row],[submission_date]])*24</f>
        <v>14.739060000109021</v>
      </c>
      <c r="I67" t="str">
        <f>TEXT(Table2[[#This Row],[submission_date]],"ddd")</f>
        <v>Sun</v>
      </c>
      <c r="J67" t="str">
        <f>TEXT(Table2[[#This Row],[submission_date]],"mmm")</f>
        <v>Aug</v>
      </c>
      <c r="K67">
        <f>HOUR(Table2[[#This Row],[resolution_date]])</f>
        <v>9</v>
      </c>
    </row>
    <row r="68" spans="1:11" x14ac:dyDescent="0.3">
      <c r="A68" t="s">
        <v>160</v>
      </c>
      <c r="B68" s="5">
        <v>45856.265250370372</v>
      </c>
      <c r="C68" s="5">
        <v>45861.837133449073</v>
      </c>
      <c r="D68" t="s">
        <v>21</v>
      </c>
      <c r="E68" t="s">
        <v>18</v>
      </c>
      <c r="F68" t="s">
        <v>161</v>
      </c>
      <c r="G68" t="s">
        <v>29</v>
      </c>
      <c r="H68" s="7">
        <f>(Table2[[#This Row],[resolution_date]]-Table2[[#This Row],[submission_date]])*24</f>
        <v>133.7251938888221</v>
      </c>
      <c r="I68" t="str">
        <f>TEXT(Table2[[#This Row],[submission_date]],"ddd")</f>
        <v>Fri</v>
      </c>
      <c r="J68" t="str">
        <f>TEXT(Table2[[#This Row],[submission_date]],"mmm")</f>
        <v>Jul</v>
      </c>
      <c r="K68">
        <f>HOUR(Table2[[#This Row],[resolution_date]])</f>
        <v>20</v>
      </c>
    </row>
    <row r="69" spans="1:11" x14ac:dyDescent="0.3">
      <c r="A69" t="s">
        <v>162</v>
      </c>
      <c r="B69" s="5">
        <v>45844.096052199071</v>
      </c>
      <c r="C69" s="5">
        <v>45845.543753993057</v>
      </c>
      <c r="D69" t="s">
        <v>45</v>
      </c>
      <c r="E69" t="s">
        <v>42</v>
      </c>
      <c r="F69" t="s">
        <v>163</v>
      </c>
      <c r="G69" t="s">
        <v>16</v>
      </c>
      <c r="H69" s="7">
        <f>(Table2[[#This Row],[resolution_date]]-Table2[[#This Row],[submission_date]])*24</f>
        <v>34.744843055668753</v>
      </c>
      <c r="I69" t="str">
        <f>TEXT(Table2[[#This Row],[submission_date]],"ddd")</f>
        <v>Sun</v>
      </c>
      <c r="J69" t="str">
        <f>TEXT(Table2[[#This Row],[submission_date]],"mmm")</f>
        <v>Jul</v>
      </c>
      <c r="K69">
        <f>HOUR(Table2[[#This Row],[resolution_date]])</f>
        <v>13</v>
      </c>
    </row>
    <row r="70" spans="1:11" x14ac:dyDescent="0.3">
      <c r="A70" t="s">
        <v>164</v>
      </c>
      <c r="B70" s="5">
        <v>45894.949184375</v>
      </c>
      <c r="C70" s="5">
        <v>45898.220131793983</v>
      </c>
      <c r="D70" t="s">
        <v>13</v>
      </c>
      <c r="E70" t="s">
        <v>32</v>
      </c>
      <c r="F70" t="s">
        <v>165</v>
      </c>
      <c r="G70" t="s">
        <v>29</v>
      </c>
      <c r="H70" s="7">
        <f>(Table2[[#This Row],[resolution_date]]-Table2[[#This Row],[submission_date]])*24</f>
        <v>78.502738055598456</v>
      </c>
      <c r="I70" t="str">
        <f>TEXT(Table2[[#This Row],[submission_date]],"ddd")</f>
        <v>Mon</v>
      </c>
      <c r="J70" t="str">
        <f>TEXT(Table2[[#This Row],[submission_date]],"mmm")</f>
        <v>Aug</v>
      </c>
      <c r="K70">
        <f>HOUR(Table2[[#This Row],[resolution_date]])</f>
        <v>5</v>
      </c>
    </row>
    <row r="71" spans="1:11" x14ac:dyDescent="0.3">
      <c r="A71" t="s">
        <v>166</v>
      </c>
      <c r="B71" s="5">
        <v>45907.021170486114</v>
      </c>
      <c r="C71" s="5">
        <v>45908.025708969908</v>
      </c>
      <c r="D71" t="s">
        <v>13</v>
      </c>
      <c r="E71" t="s">
        <v>25</v>
      </c>
      <c r="F71" t="s">
        <v>167</v>
      </c>
      <c r="G71" t="s">
        <v>16</v>
      </c>
      <c r="H71" s="7">
        <f>(Table2[[#This Row],[resolution_date]]-Table2[[#This Row],[submission_date]])*24</f>
        <v>24.108923611056525</v>
      </c>
      <c r="I71" t="str">
        <f>TEXT(Table2[[#This Row],[submission_date]],"ddd")</f>
        <v>Sun</v>
      </c>
      <c r="J71" t="str">
        <f>TEXT(Table2[[#This Row],[submission_date]],"mmm")</f>
        <v>Sep</v>
      </c>
      <c r="K71">
        <f>HOUR(Table2[[#This Row],[resolution_date]])</f>
        <v>0</v>
      </c>
    </row>
    <row r="72" spans="1:11" x14ac:dyDescent="0.3">
      <c r="A72" t="s">
        <v>168</v>
      </c>
      <c r="B72" s="5">
        <v>45859.915516805559</v>
      </c>
      <c r="C72" s="5">
        <v>45860.049579155093</v>
      </c>
      <c r="D72" t="s">
        <v>21</v>
      </c>
      <c r="E72" t="s">
        <v>42</v>
      </c>
      <c r="F72" t="s">
        <v>169</v>
      </c>
      <c r="G72" t="s">
        <v>115</v>
      </c>
      <c r="H72" s="7">
        <f>(Table2[[#This Row],[resolution_date]]-Table2[[#This Row],[submission_date]])*24</f>
        <v>3.2174963888246566</v>
      </c>
      <c r="I72" t="str">
        <f>TEXT(Table2[[#This Row],[submission_date]],"ddd")</f>
        <v>Mon</v>
      </c>
      <c r="J72" t="str">
        <f>TEXT(Table2[[#This Row],[submission_date]],"mmm")</f>
        <v>Jul</v>
      </c>
      <c r="K72">
        <f>HOUR(Table2[[#This Row],[resolution_date]])</f>
        <v>1</v>
      </c>
    </row>
    <row r="73" spans="1:11" x14ac:dyDescent="0.3">
      <c r="A73" t="s">
        <v>170</v>
      </c>
      <c r="B73" s="5">
        <v>45862.538502326388</v>
      </c>
      <c r="C73" s="5">
        <v>45863.373908437497</v>
      </c>
      <c r="D73" t="s">
        <v>13</v>
      </c>
      <c r="E73" t="s">
        <v>18</v>
      </c>
      <c r="F73" t="s">
        <v>171</v>
      </c>
      <c r="G73" t="s">
        <v>16</v>
      </c>
      <c r="H73" s="7">
        <f>(Table2[[#This Row],[resolution_date]]-Table2[[#This Row],[submission_date]])*24</f>
        <v>20.04974666662747</v>
      </c>
      <c r="I73" t="str">
        <f>TEXT(Table2[[#This Row],[submission_date]],"ddd")</f>
        <v>Thu</v>
      </c>
      <c r="J73" t="str">
        <f>TEXT(Table2[[#This Row],[submission_date]],"mmm")</f>
        <v>Jul</v>
      </c>
      <c r="K73">
        <f>HOUR(Table2[[#This Row],[resolution_date]])</f>
        <v>8</v>
      </c>
    </row>
    <row r="74" spans="1:11" x14ac:dyDescent="0.3">
      <c r="A74" t="s">
        <v>172</v>
      </c>
      <c r="B74" s="5">
        <v>45826.321113136575</v>
      </c>
      <c r="C74" s="5">
        <v>45827.897584212966</v>
      </c>
      <c r="D74" t="s">
        <v>45</v>
      </c>
      <c r="E74" t="s">
        <v>42</v>
      </c>
      <c r="F74" t="s">
        <v>173</v>
      </c>
      <c r="G74" t="s">
        <v>16</v>
      </c>
      <c r="H74" s="7">
        <f>(Table2[[#This Row],[resolution_date]]-Table2[[#This Row],[submission_date]])*24</f>
        <v>37.83530583337415</v>
      </c>
      <c r="I74" t="str">
        <f>TEXT(Table2[[#This Row],[submission_date]],"ddd")</f>
        <v>Wed</v>
      </c>
      <c r="J74" t="str">
        <f>TEXT(Table2[[#This Row],[submission_date]],"mmm")</f>
        <v>Jun</v>
      </c>
      <c r="K74">
        <f>HOUR(Table2[[#This Row],[resolution_date]])</f>
        <v>21</v>
      </c>
    </row>
    <row r="75" spans="1:11" x14ac:dyDescent="0.3">
      <c r="A75" t="s">
        <v>174</v>
      </c>
      <c r="B75" s="5">
        <v>45903.107100034722</v>
      </c>
      <c r="C75" s="5">
        <v>45903.445007858798</v>
      </c>
      <c r="D75" t="s">
        <v>8</v>
      </c>
      <c r="E75" t="s">
        <v>46</v>
      </c>
      <c r="F75" t="s">
        <v>175</v>
      </c>
      <c r="G75" t="s">
        <v>11</v>
      </c>
      <c r="H75" s="7">
        <f>(Table2[[#This Row],[resolution_date]]-Table2[[#This Row],[submission_date]])*24</f>
        <v>8.1097877778229304</v>
      </c>
      <c r="I75" t="str">
        <f>TEXT(Table2[[#This Row],[submission_date]],"ddd")</f>
        <v>Wed</v>
      </c>
      <c r="J75" t="str">
        <f>TEXT(Table2[[#This Row],[submission_date]],"mmm")</f>
        <v>Sep</v>
      </c>
      <c r="K75">
        <f>HOUR(Table2[[#This Row],[resolution_date]])</f>
        <v>10</v>
      </c>
    </row>
    <row r="76" spans="1:11" x14ac:dyDescent="0.3">
      <c r="A76" t="s">
        <v>176</v>
      </c>
      <c r="B76" s="5">
        <v>45877.970792118052</v>
      </c>
      <c r="C76" s="5">
        <v>45883.972063807872</v>
      </c>
      <c r="D76" t="s">
        <v>60</v>
      </c>
      <c r="E76" t="s">
        <v>14</v>
      </c>
      <c r="F76" t="s">
        <v>177</v>
      </c>
      <c r="G76" t="s">
        <v>29</v>
      </c>
      <c r="H76" s="7">
        <f>(Table2[[#This Row],[resolution_date]]-Table2[[#This Row],[submission_date]])*24</f>
        <v>144.03052055567969</v>
      </c>
      <c r="I76" t="str">
        <f>TEXT(Table2[[#This Row],[submission_date]],"ddd")</f>
        <v>Fri</v>
      </c>
      <c r="J76" t="str">
        <f>TEXT(Table2[[#This Row],[submission_date]],"mmm")</f>
        <v>Aug</v>
      </c>
      <c r="K76">
        <f>HOUR(Table2[[#This Row],[resolution_date]])</f>
        <v>23</v>
      </c>
    </row>
    <row r="77" spans="1:11" x14ac:dyDescent="0.3">
      <c r="A77" t="s">
        <v>178</v>
      </c>
      <c r="B77" s="5">
        <v>45897.075165682872</v>
      </c>
      <c r="C77" s="5">
        <v>45897.403448738427</v>
      </c>
      <c r="D77" t="s">
        <v>8</v>
      </c>
      <c r="E77" t="s">
        <v>42</v>
      </c>
      <c r="F77" t="s">
        <v>179</v>
      </c>
      <c r="G77" t="s">
        <v>11</v>
      </c>
      <c r="H77" s="7">
        <f>(Table2[[#This Row],[resolution_date]]-Table2[[#This Row],[submission_date]])*24</f>
        <v>7.8787933333078399</v>
      </c>
      <c r="I77" t="str">
        <f>TEXT(Table2[[#This Row],[submission_date]],"ddd")</f>
        <v>Thu</v>
      </c>
      <c r="J77" t="str">
        <f>TEXT(Table2[[#This Row],[submission_date]],"mmm")</f>
        <v>Aug</v>
      </c>
      <c r="K77">
        <f>HOUR(Table2[[#This Row],[resolution_date]])</f>
        <v>9</v>
      </c>
    </row>
    <row r="78" spans="1:11" x14ac:dyDescent="0.3">
      <c r="A78" t="s">
        <v>180</v>
      </c>
      <c r="B78" s="5">
        <v>45858.438465046296</v>
      </c>
      <c r="C78" s="5">
        <v>45858.591115138886</v>
      </c>
      <c r="D78" t="s">
        <v>13</v>
      </c>
      <c r="E78" t="s">
        <v>14</v>
      </c>
      <c r="F78" t="s">
        <v>181</v>
      </c>
      <c r="G78" t="s">
        <v>11</v>
      </c>
      <c r="H78" s="7">
        <f>(Table2[[#This Row],[resolution_date]]-Table2[[#This Row],[submission_date]])*24</f>
        <v>3.6636022221646272</v>
      </c>
      <c r="I78" t="str">
        <f>TEXT(Table2[[#This Row],[submission_date]],"ddd")</f>
        <v>Sun</v>
      </c>
      <c r="J78" t="str">
        <f>TEXT(Table2[[#This Row],[submission_date]],"mmm")</f>
        <v>Jul</v>
      </c>
      <c r="K78">
        <f>HOUR(Table2[[#This Row],[resolution_date]])</f>
        <v>14</v>
      </c>
    </row>
    <row r="79" spans="1:11" x14ac:dyDescent="0.3">
      <c r="A79" t="s">
        <v>182</v>
      </c>
      <c r="B79" s="5">
        <v>45855.654603726849</v>
      </c>
      <c r="C79" s="5">
        <v>45855.944653101855</v>
      </c>
      <c r="D79" t="s">
        <v>60</v>
      </c>
      <c r="E79" t="s">
        <v>32</v>
      </c>
      <c r="F79" t="s">
        <v>183</v>
      </c>
      <c r="G79" t="s">
        <v>11</v>
      </c>
      <c r="H79" s="7">
        <f>(Table2[[#This Row],[resolution_date]]-Table2[[#This Row],[submission_date]])*24</f>
        <v>6.9611850001383573</v>
      </c>
      <c r="I79" t="str">
        <f>TEXT(Table2[[#This Row],[submission_date]],"ddd")</f>
        <v>Thu</v>
      </c>
      <c r="J79" t="str">
        <f>TEXT(Table2[[#This Row],[submission_date]],"mmm")</f>
        <v>Jul</v>
      </c>
      <c r="K79">
        <f>HOUR(Table2[[#This Row],[resolution_date]])</f>
        <v>22</v>
      </c>
    </row>
    <row r="80" spans="1:11" x14ac:dyDescent="0.3">
      <c r="A80" t="s">
        <v>184</v>
      </c>
      <c r="B80" s="5">
        <v>45861.832680300926</v>
      </c>
      <c r="C80" s="5">
        <v>45864.478965694441</v>
      </c>
      <c r="D80" t="s">
        <v>13</v>
      </c>
      <c r="E80" t="s">
        <v>14</v>
      </c>
      <c r="F80" t="s">
        <v>185</v>
      </c>
      <c r="G80" t="s">
        <v>29</v>
      </c>
      <c r="H80" s="7">
        <f>(Table2[[#This Row],[resolution_date]]-Table2[[#This Row],[submission_date]])*24</f>
        <v>63.510849444370251</v>
      </c>
      <c r="I80" t="str">
        <f>TEXT(Table2[[#This Row],[submission_date]],"ddd")</f>
        <v>Wed</v>
      </c>
      <c r="J80" t="str">
        <f>TEXT(Table2[[#This Row],[submission_date]],"mmm")</f>
        <v>Jul</v>
      </c>
      <c r="K80">
        <f>HOUR(Table2[[#This Row],[resolution_date]])</f>
        <v>11</v>
      </c>
    </row>
    <row r="81" spans="1:11" x14ac:dyDescent="0.3">
      <c r="A81" t="s">
        <v>186</v>
      </c>
      <c r="B81" s="5">
        <v>45835.874010046296</v>
      </c>
      <c r="C81" s="5">
        <v>45839.839174652778</v>
      </c>
      <c r="D81" t="s">
        <v>45</v>
      </c>
      <c r="E81" t="s">
        <v>14</v>
      </c>
      <c r="F81" t="s">
        <v>187</v>
      </c>
      <c r="G81" t="s">
        <v>29</v>
      </c>
      <c r="H81" s="7">
        <f>(Table2[[#This Row],[resolution_date]]-Table2[[#This Row],[submission_date]])*24</f>
        <v>95.1639505555504</v>
      </c>
      <c r="I81" t="str">
        <f>TEXT(Table2[[#This Row],[submission_date]],"ddd")</f>
        <v>Fri</v>
      </c>
      <c r="J81" t="str">
        <f>TEXT(Table2[[#This Row],[submission_date]],"mmm")</f>
        <v>Jun</v>
      </c>
      <c r="K81">
        <f>HOUR(Table2[[#This Row],[resolution_date]])</f>
        <v>20</v>
      </c>
    </row>
    <row r="82" spans="1:11" x14ac:dyDescent="0.3">
      <c r="A82" t="s">
        <v>188</v>
      </c>
      <c r="B82" s="5">
        <v>45827.696929745369</v>
      </c>
      <c r="C82" s="5">
        <v>45833.939332164351</v>
      </c>
      <c r="D82" t="s">
        <v>13</v>
      </c>
      <c r="E82" t="s">
        <v>35</v>
      </c>
      <c r="F82" t="s">
        <v>189</v>
      </c>
      <c r="G82" t="s">
        <v>29</v>
      </c>
      <c r="H82" s="7">
        <f>(Table2[[#This Row],[resolution_date]]-Table2[[#This Row],[submission_date]])*24</f>
        <v>149.8176580555737</v>
      </c>
      <c r="I82" t="str">
        <f>TEXT(Table2[[#This Row],[submission_date]],"ddd")</f>
        <v>Thu</v>
      </c>
      <c r="J82" t="str">
        <f>TEXT(Table2[[#This Row],[submission_date]],"mmm")</f>
        <v>Jun</v>
      </c>
      <c r="K82">
        <f>HOUR(Table2[[#This Row],[resolution_date]])</f>
        <v>22</v>
      </c>
    </row>
    <row r="83" spans="1:11" x14ac:dyDescent="0.3">
      <c r="A83" t="s">
        <v>190</v>
      </c>
      <c r="B83" s="5">
        <v>45835.035242280093</v>
      </c>
      <c r="C83" s="5">
        <v>45839.417101817133</v>
      </c>
      <c r="D83" t="s">
        <v>31</v>
      </c>
      <c r="E83" t="s">
        <v>22</v>
      </c>
      <c r="F83" t="s">
        <v>191</v>
      </c>
      <c r="G83" t="s">
        <v>29</v>
      </c>
      <c r="H83" s="7">
        <f>(Table2[[#This Row],[resolution_date]]-Table2[[#This Row],[submission_date]])*24</f>
        <v>105.16462888894603</v>
      </c>
      <c r="I83" t="str">
        <f>TEXT(Table2[[#This Row],[submission_date]],"ddd")</f>
        <v>Fri</v>
      </c>
      <c r="J83" t="str">
        <f>TEXT(Table2[[#This Row],[submission_date]],"mmm")</f>
        <v>Jun</v>
      </c>
      <c r="K83">
        <f>HOUR(Table2[[#This Row],[resolution_date]])</f>
        <v>10</v>
      </c>
    </row>
    <row r="84" spans="1:11" x14ac:dyDescent="0.3">
      <c r="A84" t="s">
        <v>192</v>
      </c>
      <c r="B84" s="5">
        <v>45879.470454189817</v>
      </c>
      <c r="C84" s="5">
        <v>45881.348121898147</v>
      </c>
      <c r="D84" t="s">
        <v>13</v>
      </c>
      <c r="E84" t="s">
        <v>14</v>
      </c>
      <c r="F84" t="s">
        <v>193</v>
      </c>
      <c r="G84" t="s">
        <v>16</v>
      </c>
      <c r="H84" s="7">
        <f>(Table2[[#This Row],[resolution_date]]-Table2[[#This Row],[submission_date]])*24</f>
        <v>45.064024999912363</v>
      </c>
      <c r="I84" t="str">
        <f>TEXT(Table2[[#This Row],[submission_date]],"ddd")</f>
        <v>Sun</v>
      </c>
      <c r="J84" t="str">
        <f>TEXT(Table2[[#This Row],[submission_date]],"mmm")</f>
        <v>Aug</v>
      </c>
      <c r="K84">
        <f>HOUR(Table2[[#This Row],[resolution_date]])</f>
        <v>8</v>
      </c>
    </row>
    <row r="85" spans="1:11" x14ac:dyDescent="0.3">
      <c r="A85" t="s">
        <v>194</v>
      </c>
      <c r="B85" s="5">
        <v>45867.075831828704</v>
      </c>
      <c r="C85" s="5">
        <v>45869.559900428241</v>
      </c>
      <c r="D85" t="s">
        <v>81</v>
      </c>
      <c r="E85" t="s">
        <v>25</v>
      </c>
      <c r="F85" t="s">
        <v>195</v>
      </c>
      <c r="G85" t="s">
        <v>29</v>
      </c>
      <c r="H85" s="7">
        <f>(Table2[[#This Row],[resolution_date]]-Table2[[#This Row],[submission_date]])*24</f>
        <v>59.617646388884168</v>
      </c>
      <c r="I85" t="str">
        <f>TEXT(Table2[[#This Row],[submission_date]],"ddd")</f>
        <v>Tue</v>
      </c>
      <c r="J85" t="str">
        <f>TEXT(Table2[[#This Row],[submission_date]],"mmm")</f>
        <v>Jul</v>
      </c>
      <c r="K85">
        <f>HOUR(Table2[[#This Row],[resolution_date]])</f>
        <v>13</v>
      </c>
    </row>
    <row r="86" spans="1:11" x14ac:dyDescent="0.3">
      <c r="A86" t="s">
        <v>196</v>
      </c>
      <c r="B86" s="5">
        <v>45844.422962789351</v>
      </c>
      <c r="C86" s="5">
        <v>45849.014388842596</v>
      </c>
      <c r="D86" t="s">
        <v>21</v>
      </c>
      <c r="E86" t="s">
        <v>55</v>
      </c>
      <c r="F86" t="s">
        <v>197</v>
      </c>
      <c r="G86" t="s">
        <v>29</v>
      </c>
      <c r="H86" s="7">
        <f>(Table2[[#This Row],[resolution_date]]-Table2[[#This Row],[submission_date]])*24</f>
        <v>110.1942252778681</v>
      </c>
      <c r="I86" t="str">
        <f>TEXT(Table2[[#This Row],[submission_date]],"ddd")</f>
        <v>Sun</v>
      </c>
      <c r="J86" t="str">
        <f>TEXT(Table2[[#This Row],[submission_date]],"mmm")</f>
        <v>Jul</v>
      </c>
      <c r="K86">
        <f>HOUR(Table2[[#This Row],[resolution_date]])</f>
        <v>0</v>
      </c>
    </row>
    <row r="87" spans="1:11" x14ac:dyDescent="0.3">
      <c r="A87" t="s">
        <v>198</v>
      </c>
      <c r="B87" s="5">
        <v>45868.183028981482</v>
      </c>
      <c r="C87" s="5">
        <v>45868.547340937497</v>
      </c>
      <c r="D87" t="s">
        <v>31</v>
      </c>
      <c r="E87" t="s">
        <v>32</v>
      </c>
      <c r="F87" t="s">
        <v>199</v>
      </c>
      <c r="G87" t="s">
        <v>11</v>
      </c>
      <c r="H87" s="7">
        <f>(Table2[[#This Row],[resolution_date]]-Table2[[#This Row],[submission_date]])*24</f>
        <v>8.7434869443532079</v>
      </c>
      <c r="I87" t="str">
        <f>TEXT(Table2[[#This Row],[submission_date]],"ddd")</f>
        <v>Wed</v>
      </c>
      <c r="J87" t="str">
        <f>TEXT(Table2[[#This Row],[submission_date]],"mmm")</f>
        <v>Jul</v>
      </c>
      <c r="K87">
        <f>HOUR(Table2[[#This Row],[resolution_date]])</f>
        <v>13</v>
      </c>
    </row>
    <row r="88" spans="1:11" x14ac:dyDescent="0.3">
      <c r="A88" t="s">
        <v>200</v>
      </c>
      <c r="B88" s="5">
        <v>45892.221289976849</v>
      </c>
      <c r="C88" s="5">
        <v>45893.692486550928</v>
      </c>
      <c r="D88" t="s">
        <v>13</v>
      </c>
      <c r="E88" t="s">
        <v>42</v>
      </c>
      <c r="F88" t="s">
        <v>201</v>
      </c>
      <c r="G88" t="s">
        <v>16</v>
      </c>
      <c r="H88" s="7">
        <f>(Table2[[#This Row],[resolution_date]]-Table2[[#This Row],[submission_date]])*24</f>
        <v>35.308717777894344</v>
      </c>
      <c r="I88" t="str">
        <f>TEXT(Table2[[#This Row],[submission_date]],"ddd")</f>
        <v>Sat</v>
      </c>
      <c r="J88" t="str">
        <f>TEXT(Table2[[#This Row],[submission_date]],"mmm")</f>
        <v>Aug</v>
      </c>
      <c r="K88">
        <f>HOUR(Table2[[#This Row],[resolution_date]])</f>
        <v>16</v>
      </c>
    </row>
    <row r="89" spans="1:11" x14ac:dyDescent="0.3">
      <c r="A89" t="s">
        <v>202</v>
      </c>
      <c r="B89" s="5">
        <v>45848.132901874997</v>
      </c>
      <c r="C89" s="5">
        <v>45848.966689872686</v>
      </c>
      <c r="D89" t="s">
        <v>21</v>
      </c>
      <c r="E89" t="s">
        <v>18</v>
      </c>
      <c r="F89" t="s">
        <v>203</v>
      </c>
      <c r="G89" t="s">
        <v>16</v>
      </c>
      <c r="H89" s="7">
        <f>(Table2[[#This Row],[resolution_date]]-Table2[[#This Row],[submission_date]])*24</f>
        <v>20.010911944555119</v>
      </c>
      <c r="I89" t="str">
        <f>TEXT(Table2[[#This Row],[submission_date]],"ddd")</f>
        <v>Thu</v>
      </c>
      <c r="J89" t="str">
        <f>TEXT(Table2[[#This Row],[submission_date]],"mmm")</f>
        <v>Jul</v>
      </c>
      <c r="K89">
        <f>HOUR(Table2[[#This Row],[resolution_date]])</f>
        <v>23</v>
      </c>
    </row>
    <row r="90" spans="1:11" x14ac:dyDescent="0.3">
      <c r="A90" t="s">
        <v>204</v>
      </c>
      <c r="B90" s="5">
        <v>45912.790745324077</v>
      </c>
      <c r="C90" s="5">
        <v>45914.105542256948</v>
      </c>
      <c r="D90" t="s">
        <v>13</v>
      </c>
      <c r="E90" t="s">
        <v>32</v>
      </c>
      <c r="F90" t="s">
        <v>205</v>
      </c>
      <c r="G90" t="s">
        <v>16</v>
      </c>
      <c r="H90" s="7">
        <f>(Table2[[#This Row],[resolution_date]]-Table2[[#This Row],[submission_date]])*24</f>
        <v>31.555126388906501</v>
      </c>
      <c r="I90" t="str">
        <f>TEXT(Table2[[#This Row],[submission_date]],"ddd")</f>
        <v>Fri</v>
      </c>
      <c r="J90" t="str">
        <f>TEXT(Table2[[#This Row],[submission_date]],"mmm")</f>
        <v>Sep</v>
      </c>
      <c r="K90">
        <f>HOUR(Table2[[#This Row],[resolution_date]])</f>
        <v>2</v>
      </c>
    </row>
    <row r="91" spans="1:11" x14ac:dyDescent="0.3">
      <c r="A91" t="s">
        <v>206</v>
      </c>
      <c r="B91" s="5">
        <v>45902.639425532405</v>
      </c>
      <c r="C91" s="5">
        <v>45908.681624143515</v>
      </c>
      <c r="D91" t="s">
        <v>13</v>
      </c>
      <c r="E91" t="s">
        <v>32</v>
      </c>
      <c r="F91" t="s">
        <v>207</v>
      </c>
      <c r="G91" t="s">
        <v>29</v>
      </c>
      <c r="H91" s="7">
        <f>(Table2[[#This Row],[resolution_date]]-Table2[[#This Row],[submission_date]])*24</f>
        <v>145.01276666665217</v>
      </c>
      <c r="I91" t="str">
        <f>TEXT(Table2[[#This Row],[submission_date]],"ddd")</f>
        <v>Tue</v>
      </c>
      <c r="J91" t="str">
        <f>TEXT(Table2[[#This Row],[submission_date]],"mmm")</f>
        <v>Sep</v>
      </c>
      <c r="K91">
        <f>HOUR(Table2[[#This Row],[resolution_date]])</f>
        <v>16</v>
      </c>
    </row>
    <row r="92" spans="1:11" x14ac:dyDescent="0.3">
      <c r="A92" t="s">
        <v>208</v>
      </c>
      <c r="B92" s="5">
        <v>45850.503205740744</v>
      </c>
      <c r="C92" s="5">
        <v>45851.26551005787</v>
      </c>
      <c r="D92" t="s">
        <v>13</v>
      </c>
      <c r="E92" t="s">
        <v>9</v>
      </c>
      <c r="F92" t="s">
        <v>209</v>
      </c>
      <c r="G92" t="s">
        <v>16</v>
      </c>
      <c r="H92" s="7">
        <f>(Table2[[#This Row],[resolution_date]]-Table2[[#This Row],[submission_date]])*24</f>
        <v>18.295303611026611</v>
      </c>
      <c r="I92" t="str">
        <f>TEXT(Table2[[#This Row],[submission_date]],"ddd")</f>
        <v>Sat</v>
      </c>
      <c r="J92" t="str">
        <f>TEXT(Table2[[#This Row],[submission_date]],"mmm")</f>
        <v>Jul</v>
      </c>
      <c r="K92">
        <f>HOUR(Table2[[#This Row],[resolution_date]])</f>
        <v>6</v>
      </c>
    </row>
    <row r="93" spans="1:11" x14ac:dyDescent="0.3">
      <c r="A93" t="s">
        <v>210</v>
      </c>
      <c r="B93" s="5">
        <v>45875.192167974536</v>
      </c>
      <c r="C93" s="5">
        <v>45881.464590856478</v>
      </c>
      <c r="D93" t="s">
        <v>13</v>
      </c>
      <c r="E93" t="s">
        <v>32</v>
      </c>
      <c r="F93" t="s">
        <v>211</v>
      </c>
      <c r="G93" t="s">
        <v>29</v>
      </c>
      <c r="H93" s="7">
        <f>(Table2[[#This Row],[resolution_date]]-Table2[[#This Row],[submission_date]])*24</f>
        <v>150.53814916661941</v>
      </c>
      <c r="I93" t="str">
        <f>TEXT(Table2[[#This Row],[submission_date]],"ddd")</f>
        <v>Wed</v>
      </c>
      <c r="J93" t="str">
        <f>TEXT(Table2[[#This Row],[submission_date]],"mmm")</f>
        <v>Aug</v>
      </c>
      <c r="K93">
        <f>HOUR(Table2[[#This Row],[resolution_date]])</f>
        <v>11</v>
      </c>
    </row>
    <row r="94" spans="1:11" x14ac:dyDescent="0.3">
      <c r="A94" t="s">
        <v>212</v>
      </c>
      <c r="B94" s="5">
        <v>45832.518167638889</v>
      </c>
      <c r="C94" s="5">
        <v>45834.451125613428</v>
      </c>
      <c r="D94" t="s">
        <v>45</v>
      </c>
      <c r="E94" t="s">
        <v>22</v>
      </c>
      <c r="F94" t="s">
        <v>213</v>
      </c>
      <c r="G94" t="s">
        <v>16</v>
      </c>
      <c r="H94" s="7">
        <f>(Table2[[#This Row],[resolution_date]]-Table2[[#This Row],[submission_date]])*24</f>
        <v>46.390991388936527</v>
      </c>
      <c r="I94" t="str">
        <f>TEXT(Table2[[#This Row],[submission_date]],"ddd")</f>
        <v>Tue</v>
      </c>
      <c r="J94" t="str">
        <f>TEXT(Table2[[#This Row],[submission_date]],"mmm")</f>
        <v>Jun</v>
      </c>
      <c r="K94">
        <f>HOUR(Table2[[#This Row],[resolution_date]])</f>
        <v>10</v>
      </c>
    </row>
    <row r="95" spans="1:11" x14ac:dyDescent="0.3">
      <c r="A95" t="s">
        <v>214</v>
      </c>
      <c r="B95" s="5">
        <v>45833.894249444442</v>
      </c>
      <c r="C95" s="5">
        <v>45837.297820671294</v>
      </c>
      <c r="D95" t="s">
        <v>8</v>
      </c>
      <c r="E95" t="s">
        <v>22</v>
      </c>
      <c r="F95" t="s">
        <v>215</v>
      </c>
      <c r="G95" t="s">
        <v>29</v>
      </c>
      <c r="H95" s="7">
        <f>(Table2[[#This Row],[resolution_date]]-Table2[[#This Row],[submission_date]])*24</f>
        <v>81.685709444456734</v>
      </c>
      <c r="I95" t="str">
        <f>TEXT(Table2[[#This Row],[submission_date]],"ddd")</f>
        <v>Wed</v>
      </c>
      <c r="J95" t="str">
        <f>TEXT(Table2[[#This Row],[submission_date]],"mmm")</f>
        <v>Jun</v>
      </c>
      <c r="K95">
        <f>HOUR(Table2[[#This Row],[resolution_date]])</f>
        <v>7</v>
      </c>
    </row>
    <row r="96" spans="1:11" x14ac:dyDescent="0.3">
      <c r="A96" t="s">
        <v>216</v>
      </c>
      <c r="B96" s="5">
        <v>45863.629643032407</v>
      </c>
      <c r="C96" s="5">
        <v>45868.030028715279</v>
      </c>
      <c r="D96" t="s">
        <v>31</v>
      </c>
      <c r="E96" t="s">
        <v>42</v>
      </c>
      <c r="F96" t="s">
        <v>217</v>
      </c>
      <c r="G96" t="s">
        <v>29</v>
      </c>
      <c r="H96" s="7">
        <f>(Table2[[#This Row],[resolution_date]]-Table2[[#This Row],[submission_date]])*24</f>
        <v>105.60925638891058</v>
      </c>
      <c r="I96" t="str">
        <f>TEXT(Table2[[#This Row],[submission_date]],"ddd")</f>
        <v>Fri</v>
      </c>
      <c r="J96" t="str">
        <f>TEXT(Table2[[#This Row],[submission_date]],"mmm")</f>
        <v>Jul</v>
      </c>
      <c r="K96">
        <f>HOUR(Table2[[#This Row],[resolution_date]])</f>
        <v>0</v>
      </c>
    </row>
    <row r="97" spans="1:11" x14ac:dyDescent="0.3">
      <c r="A97" t="s">
        <v>218</v>
      </c>
      <c r="B97" s="5">
        <v>45863.74130209491</v>
      </c>
      <c r="C97" s="5">
        <v>45864.909261319444</v>
      </c>
      <c r="D97" t="s">
        <v>8</v>
      </c>
      <c r="E97" t="s">
        <v>9</v>
      </c>
      <c r="F97" t="s">
        <v>219</v>
      </c>
      <c r="G97" t="s">
        <v>16</v>
      </c>
      <c r="H97" s="7">
        <f>(Table2[[#This Row],[resolution_date]]-Table2[[#This Row],[submission_date]])*24</f>
        <v>28.031021388829686</v>
      </c>
      <c r="I97" t="str">
        <f>TEXT(Table2[[#This Row],[submission_date]],"ddd")</f>
        <v>Fri</v>
      </c>
      <c r="J97" t="str">
        <f>TEXT(Table2[[#This Row],[submission_date]],"mmm")</f>
        <v>Jul</v>
      </c>
      <c r="K97">
        <f>HOUR(Table2[[#This Row],[resolution_date]])</f>
        <v>21</v>
      </c>
    </row>
    <row r="98" spans="1:11" x14ac:dyDescent="0.3">
      <c r="A98" t="s">
        <v>220</v>
      </c>
      <c r="B98" s="5">
        <v>45881.742879791665</v>
      </c>
      <c r="C98" s="5">
        <v>45883.565504467595</v>
      </c>
      <c r="D98" t="s">
        <v>31</v>
      </c>
      <c r="E98" t="s">
        <v>25</v>
      </c>
      <c r="F98" t="s">
        <v>221</v>
      </c>
      <c r="G98" t="s">
        <v>29</v>
      </c>
      <c r="H98" s="7">
        <f>(Table2[[#This Row],[resolution_date]]-Table2[[#This Row],[submission_date]])*24</f>
        <v>43.742992222309113</v>
      </c>
      <c r="I98" t="str">
        <f>TEXT(Table2[[#This Row],[submission_date]],"ddd")</f>
        <v>Tue</v>
      </c>
      <c r="J98" t="str">
        <f>TEXT(Table2[[#This Row],[submission_date]],"mmm")</f>
        <v>Aug</v>
      </c>
      <c r="K98">
        <f>HOUR(Table2[[#This Row],[resolution_date]])</f>
        <v>13</v>
      </c>
    </row>
    <row r="99" spans="1:11" x14ac:dyDescent="0.3">
      <c r="A99" t="s">
        <v>222</v>
      </c>
      <c r="B99" s="5">
        <v>45863.88633465278</v>
      </c>
      <c r="C99" s="5">
        <v>45870.561789224535</v>
      </c>
      <c r="D99" t="s">
        <v>21</v>
      </c>
      <c r="E99" t="s">
        <v>32</v>
      </c>
      <c r="F99" t="s">
        <v>223</v>
      </c>
      <c r="G99" t="s">
        <v>29</v>
      </c>
      <c r="H99" s="7">
        <f>(Table2[[#This Row],[resolution_date]]-Table2[[#This Row],[submission_date]])*24</f>
        <v>160.21090972214006</v>
      </c>
      <c r="I99" t="str">
        <f>TEXT(Table2[[#This Row],[submission_date]],"ddd")</f>
        <v>Fri</v>
      </c>
      <c r="J99" t="str">
        <f>TEXT(Table2[[#This Row],[submission_date]],"mmm")</f>
        <v>Jul</v>
      </c>
      <c r="K99">
        <f>HOUR(Table2[[#This Row],[resolution_date]])</f>
        <v>13</v>
      </c>
    </row>
    <row r="100" spans="1:11" x14ac:dyDescent="0.3">
      <c r="A100" t="s">
        <v>224</v>
      </c>
      <c r="B100" s="5">
        <v>45914.807502268515</v>
      </c>
      <c r="C100" s="5">
        <v>45914.935071701388</v>
      </c>
      <c r="D100" t="s">
        <v>13</v>
      </c>
      <c r="E100" t="s">
        <v>14</v>
      </c>
      <c r="F100" t="s">
        <v>225</v>
      </c>
      <c r="G100" t="s">
        <v>11</v>
      </c>
      <c r="H100" s="7">
        <f>(Table2[[#This Row],[resolution_date]]-Table2[[#This Row],[submission_date]])*24</f>
        <v>3.0616663889377378</v>
      </c>
      <c r="I100" t="str">
        <f>TEXT(Table2[[#This Row],[submission_date]],"ddd")</f>
        <v>Sun</v>
      </c>
      <c r="J100" t="str">
        <f>TEXT(Table2[[#This Row],[submission_date]],"mmm")</f>
        <v>Sep</v>
      </c>
      <c r="K100">
        <f>HOUR(Table2[[#This Row],[resolution_date]])</f>
        <v>22</v>
      </c>
    </row>
    <row r="101" spans="1:11" x14ac:dyDescent="0.3">
      <c r="A101" t="s">
        <v>226</v>
      </c>
      <c r="B101" s="5">
        <v>45869.010687291666</v>
      </c>
      <c r="C101" s="5">
        <v>45869.377826099539</v>
      </c>
      <c r="D101" t="s">
        <v>21</v>
      </c>
      <c r="E101" t="s">
        <v>25</v>
      </c>
      <c r="F101" t="s">
        <v>227</v>
      </c>
      <c r="G101" t="s">
        <v>16</v>
      </c>
      <c r="H101" s="7">
        <f>(Table2[[#This Row],[resolution_date]]-Table2[[#This Row],[submission_date]])*24</f>
        <v>8.8113313889480196</v>
      </c>
      <c r="I101" t="str">
        <f>TEXT(Table2[[#This Row],[submission_date]],"ddd")</f>
        <v>Thu</v>
      </c>
      <c r="J101" t="str">
        <f>TEXT(Table2[[#This Row],[submission_date]],"mmm")</f>
        <v>Jul</v>
      </c>
      <c r="K101">
        <f>HOUR(Table2[[#This Row],[resolution_date]])</f>
        <v>9</v>
      </c>
    </row>
    <row r="102" spans="1:11" x14ac:dyDescent="0.3">
      <c r="A102" t="s">
        <v>228</v>
      </c>
      <c r="B102" s="5">
        <v>45886.551199293979</v>
      </c>
      <c r="C102" s="5">
        <v>45886.637387997682</v>
      </c>
      <c r="D102" t="s">
        <v>13</v>
      </c>
      <c r="E102" t="s">
        <v>32</v>
      </c>
      <c r="F102" t="s">
        <v>229</v>
      </c>
      <c r="G102" t="s">
        <v>115</v>
      </c>
      <c r="H102" s="7">
        <f>(Table2[[#This Row],[resolution_date]]-Table2[[#This Row],[submission_date]])*24</f>
        <v>2.0685288888635114</v>
      </c>
      <c r="I102" t="str">
        <f>TEXT(Table2[[#This Row],[submission_date]],"ddd")</f>
        <v>Sun</v>
      </c>
      <c r="J102" t="str">
        <f>TEXT(Table2[[#This Row],[submission_date]],"mmm")</f>
        <v>Aug</v>
      </c>
      <c r="K102">
        <f>HOUR(Table2[[#This Row],[resolution_date]])</f>
        <v>15</v>
      </c>
    </row>
    <row r="103" spans="1:11" x14ac:dyDescent="0.3">
      <c r="A103" t="s">
        <v>230</v>
      </c>
      <c r="B103" s="5">
        <v>45911.538317349536</v>
      </c>
      <c r="C103" s="5">
        <v>45913.271872893522</v>
      </c>
      <c r="D103" t="s">
        <v>13</v>
      </c>
      <c r="E103" t="s">
        <v>42</v>
      </c>
      <c r="F103" t="s">
        <v>231</v>
      </c>
      <c r="G103" t="s">
        <v>16</v>
      </c>
      <c r="H103" s="7">
        <f>(Table2[[#This Row],[resolution_date]]-Table2[[#This Row],[submission_date]])*24</f>
        <v>41.605333055660594</v>
      </c>
      <c r="I103" t="str">
        <f>TEXT(Table2[[#This Row],[submission_date]],"ddd")</f>
        <v>Thu</v>
      </c>
      <c r="J103" t="str">
        <f>TEXT(Table2[[#This Row],[submission_date]],"mmm")</f>
        <v>Sep</v>
      </c>
      <c r="K103">
        <f>HOUR(Table2[[#This Row],[resolution_date]])</f>
        <v>6</v>
      </c>
    </row>
    <row r="104" spans="1:11" x14ac:dyDescent="0.3">
      <c r="A104" t="s">
        <v>232</v>
      </c>
      <c r="B104" s="5">
        <v>45839.36759386574</v>
      </c>
      <c r="C104" s="5">
        <v>45840.472722094906</v>
      </c>
      <c r="D104" t="s">
        <v>8</v>
      </c>
      <c r="E104" t="s">
        <v>32</v>
      </c>
      <c r="F104" t="s">
        <v>233</v>
      </c>
      <c r="G104" t="s">
        <v>29</v>
      </c>
      <c r="H104" s="7">
        <f>(Table2[[#This Row],[resolution_date]]-Table2[[#This Row],[submission_date]])*24</f>
        <v>26.523077499994542</v>
      </c>
      <c r="I104" t="str">
        <f>TEXT(Table2[[#This Row],[submission_date]],"ddd")</f>
        <v>Tue</v>
      </c>
      <c r="J104" t="str">
        <f>TEXT(Table2[[#This Row],[submission_date]],"mmm")</f>
        <v>Jul</v>
      </c>
      <c r="K104">
        <f>HOUR(Table2[[#This Row],[resolution_date]])</f>
        <v>11</v>
      </c>
    </row>
    <row r="105" spans="1:11" x14ac:dyDescent="0.3">
      <c r="A105" t="s">
        <v>234</v>
      </c>
      <c r="B105" s="5">
        <v>45833.941698634262</v>
      </c>
      <c r="C105" s="5">
        <v>45834.416492488424</v>
      </c>
      <c r="D105" t="s">
        <v>13</v>
      </c>
      <c r="E105" t="s">
        <v>55</v>
      </c>
      <c r="F105" t="s">
        <v>235</v>
      </c>
      <c r="G105" t="s">
        <v>16</v>
      </c>
      <c r="H105" s="7">
        <f>(Table2[[#This Row],[resolution_date]]-Table2[[#This Row],[submission_date]])*24</f>
        <v>11.395052499894518</v>
      </c>
      <c r="I105" t="str">
        <f>TEXT(Table2[[#This Row],[submission_date]],"ddd")</f>
        <v>Wed</v>
      </c>
      <c r="J105" t="str">
        <f>TEXT(Table2[[#This Row],[submission_date]],"mmm")</f>
        <v>Jun</v>
      </c>
      <c r="K105">
        <f>HOUR(Table2[[#This Row],[resolution_date]])</f>
        <v>9</v>
      </c>
    </row>
    <row r="106" spans="1:11" x14ac:dyDescent="0.3">
      <c r="A106" t="s">
        <v>236</v>
      </c>
      <c r="B106" s="5">
        <v>45906.263209618053</v>
      </c>
      <c r="C106" s="5">
        <v>45906.441982453704</v>
      </c>
      <c r="D106" t="s">
        <v>81</v>
      </c>
      <c r="E106" t="s">
        <v>55</v>
      </c>
      <c r="F106" t="s">
        <v>237</v>
      </c>
      <c r="G106" t="s">
        <v>11</v>
      </c>
      <c r="H106" s="7">
        <f>(Table2[[#This Row],[resolution_date]]-Table2[[#This Row],[submission_date]])*24</f>
        <v>4.2905480556073599</v>
      </c>
      <c r="I106" t="str">
        <f>TEXT(Table2[[#This Row],[submission_date]],"ddd")</f>
        <v>Sat</v>
      </c>
      <c r="J106" t="str">
        <f>TEXT(Table2[[#This Row],[submission_date]],"mmm")</f>
        <v>Sep</v>
      </c>
      <c r="K106">
        <f>HOUR(Table2[[#This Row],[resolution_date]])</f>
        <v>10</v>
      </c>
    </row>
    <row r="107" spans="1:11" x14ac:dyDescent="0.3">
      <c r="A107" t="s">
        <v>238</v>
      </c>
      <c r="B107" s="5">
        <v>45872.281321724535</v>
      </c>
      <c r="C107" s="5">
        <v>45874.695412037036</v>
      </c>
      <c r="D107" t="s">
        <v>45</v>
      </c>
      <c r="E107" t="s">
        <v>46</v>
      </c>
      <c r="F107" t="s">
        <v>239</v>
      </c>
      <c r="G107" t="s">
        <v>29</v>
      </c>
      <c r="H107" s="7">
        <f>(Table2[[#This Row],[resolution_date]]-Table2[[#This Row],[submission_date]])*24</f>
        <v>57.938167500018608</v>
      </c>
      <c r="I107" t="str">
        <f>TEXT(Table2[[#This Row],[submission_date]],"ddd")</f>
        <v>Sun</v>
      </c>
      <c r="J107" t="str">
        <f>TEXT(Table2[[#This Row],[submission_date]],"mmm")</f>
        <v>Aug</v>
      </c>
      <c r="K107">
        <f>HOUR(Table2[[#This Row],[resolution_date]])</f>
        <v>16</v>
      </c>
    </row>
    <row r="108" spans="1:11" x14ac:dyDescent="0.3">
      <c r="A108" t="s">
        <v>240</v>
      </c>
      <c r="B108" s="5">
        <v>45886.512519641205</v>
      </c>
      <c r="C108" s="5">
        <v>45887.770572569447</v>
      </c>
      <c r="D108" t="s">
        <v>81</v>
      </c>
      <c r="E108" t="s">
        <v>18</v>
      </c>
      <c r="F108" t="s">
        <v>241</v>
      </c>
      <c r="G108" t="s">
        <v>16</v>
      </c>
      <c r="H108" s="7">
        <f>(Table2[[#This Row],[resolution_date]]-Table2[[#This Row],[submission_date]])*24</f>
        <v>30.193270277814008</v>
      </c>
      <c r="I108" t="str">
        <f>TEXT(Table2[[#This Row],[submission_date]],"ddd")</f>
        <v>Sun</v>
      </c>
      <c r="J108" t="str">
        <f>TEXT(Table2[[#This Row],[submission_date]],"mmm")</f>
        <v>Aug</v>
      </c>
      <c r="K108">
        <f>HOUR(Table2[[#This Row],[resolution_date]])</f>
        <v>18</v>
      </c>
    </row>
    <row r="109" spans="1:11" x14ac:dyDescent="0.3">
      <c r="A109" t="s">
        <v>242</v>
      </c>
      <c r="B109" s="5">
        <v>45866.620971516204</v>
      </c>
      <c r="C109" s="5">
        <v>45869.341103599538</v>
      </c>
      <c r="D109" t="s">
        <v>21</v>
      </c>
      <c r="E109" t="s">
        <v>14</v>
      </c>
      <c r="F109" t="s">
        <v>243</v>
      </c>
      <c r="G109" t="s">
        <v>29</v>
      </c>
      <c r="H109" s="7">
        <f>(Table2[[#This Row],[resolution_date]]-Table2[[#This Row],[submission_date]])*24</f>
        <v>65.283170000009704</v>
      </c>
      <c r="I109" t="str">
        <f>TEXT(Table2[[#This Row],[submission_date]],"ddd")</f>
        <v>Mon</v>
      </c>
      <c r="J109" t="str">
        <f>TEXT(Table2[[#This Row],[submission_date]],"mmm")</f>
        <v>Jul</v>
      </c>
      <c r="K109">
        <f>HOUR(Table2[[#This Row],[resolution_date]])</f>
        <v>8</v>
      </c>
    </row>
    <row r="110" spans="1:11" x14ac:dyDescent="0.3">
      <c r="A110" t="s">
        <v>244</v>
      </c>
      <c r="B110" s="5">
        <v>45850.289993865743</v>
      </c>
      <c r="C110" s="5">
        <v>45850.497444108798</v>
      </c>
      <c r="D110" t="s">
        <v>21</v>
      </c>
      <c r="E110" t="s">
        <v>18</v>
      </c>
      <c r="F110" t="s">
        <v>245</v>
      </c>
      <c r="G110" t="s">
        <v>11</v>
      </c>
      <c r="H110" s="7">
        <f>(Table2[[#This Row],[resolution_date]]-Table2[[#This Row],[submission_date]])*24</f>
        <v>4.9788058333215304</v>
      </c>
      <c r="I110" t="str">
        <f>TEXT(Table2[[#This Row],[submission_date]],"ddd")</f>
        <v>Sat</v>
      </c>
      <c r="J110" t="str">
        <f>TEXT(Table2[[#This Row],[submission_date]],"mmm")</f>
        <v>Jul</v>
      </c>
      <c r="K110">
        <f>HOUR(Table2[[#This Row],[resolution_date]])</f>
        <v>11</v>
      </c>
    </row>
    <row r="111" spans="1:11" x14ac:dyDescent="0.3">
      <c r="A111" t="s">
        <v>246</v>
      </c>
      <c r="B111" s="5">
        <v>45851.016814189818</v>
      </c>
      <c r="C111" s="5">
        <v>45857.933740289351</v>
      </c>
      <c r="D111" t="s">
        <v>13</v>
      </c>
      <c r="E111" t="s">
        <v>18</v>
      </c>
      <c r="F111" t="s">
        <v>247</v>
      </c>
      <c r="G111" t="s">
        <v>29</v>
      </c>
      <c r="H111" s="7">
        <f>(Table2[[#This Row],[resolution_date]]-Table2[[#This Row],[submission_date]])*24</f>
        <v>166.00622638879577</v>
      </c>
      <c r="I111" t="str">
        <f>TEXT(Table2[[#This Row],[submission_date]],"ddd")</f>
        <v>Sun</v>
      </c>
      <c r="J111" t="str">
        <f>TEXT(Table2[[#This Row],[submission_date]],"mmm")</f>
        <v>Jul</v>
      </c>
      <c r="K111">
        <f>HOUR(Table2[[#This Row],[resolution_date]])</f>
        <v>22</v>
      </c>
    </row>
    <row r="112" spans="1:11" x14ac:dyDescent="0.3">
      <c r="A112" t="s">
        <v>248</v>
      </c>
      <c r="B112" s="5">
        <v>45852.247494618059</v>
      </c>
      <c r="C112" s="5">
        <v>45852.52489966435</v>
      </c>
      <c r="D112" t="s">
        <v>31</v>
      </c>
      <c r="E112" t="s">
        <v>42</v>
      </c>
      <c r="F112" t="s">
        <v>249</v>
      </c>
      <c r="G112" t="s">
        <v>11</v>
      </c>
      <c r="H112" s="7">
        <f>(Table2[[#This Row],[resolution_date]]-Table2[[#This Row],[submission_date]])*24</f>
        <v>6.6577211109688506</v>
      </c>
      <c r="I112" t="str">
        <f>TEXT(Table2[[#This Row],[submission_date]],"ddd")</f>
        <v>Mon</v>
      </c>
      <c r="J112" t="str">
        <f>TEXT(Table2[[#This Row],[submission_date]],"mmm")</f>
        <v>Jul</v>
      </c>
      <c r="K112">
        <f>HOUR(Table2[[#This Row],[resolution_date]])</f>
        <v>12</v>
      </c>
    </row>
    <row r="113" spans="1:11" x14ac:dyDescent="0.3">
      <c r="A113" t="s">
        <v>250</v>
      </c>
      <c r="B113" s="5">
        <v>45897.479103912039</v>
      </c>
      <c r="C113" s="5">
        <v>45904.444584293982</v>
      </c>
      <c r="D113" t="s">
        <v>13</v>
      </c>
      <c r="E113" t="s">
        <v>18</v>
      </c>
      <c r="F113" t="s">
        <v>251</v>
      </c>
      <c r="G113" t="s">
        <v>29</v>
      </c>
      <c r="H113" s="7">
        <f>(Table2[[#This Row],[resolution_date]]-Table2[[#This Row],[submission_date]])*24</f>
        <v>167.17152916663326</v>
      </c>
      <c r="I113" t="str">
        <f>TEXT(Table2[[#This Row],[submission_date]],"ddd")</f>
        <v>Thu</v>
      </c>
      <c r="J113" t="str">
        <f>TEXT(Table2[[#This Row],[submission_date]],"mmm")</f>
        <v>Aug</v>
      </c>
      <c r="K113">
        <f>HOUR(Table2[[#This Row],[resolution_date]])</f>
        <v>10</v>
      </c>
    </row>
    <row r="114" spans="1:11" x14ac:dyDescent="0.3">
      <c r="A114" t="s">
        <v>252</v>
      </c>
      <c r="B114" s="5">
        <v>45897.33485097222</v>
      </c>
      <c r="C114" s="5">
        <v>45902.195088425928</v>
      </c>
      <c r="D114" t="s">
        <v>60</v>
      </c>
      <c r="E114" t="s">
        <v>14</v>
      </c>
      <c r="F114" t="s">
        <v>253</v>
      </c>
      <c r="G114" t="s">
        <v>29</v>
      </c>
      <c r="H114" s="7">
        <f>(Table2[[#This Row],[resolution_date]]-Table2[[#This Row],[submission_date]])*24</f>
        <v>116.64569888898404</v>
      </c>
      <c r="I114" t="str">
        <f>TEXT(Table2[[#This Row],[submission_date]],"ddd")</f>
        <v>Thu</v>
      </c>
      <c r="J114" t="str">
        <f>TEXT(Table2[[#This Row],[submission_date]],"mmm")</f>
        <v>Aug</v>
      </c>
      <c r="K114">
        <f>HOUR(Table2[[#This Row],[resolution_date]])</f>
        <v>4</v>
      </c>
    </row>
    <row r="115" spans="1:11" x14ac:dyDescent="0.3">
      <c r="A115" t="s">
        <v>254</v>
      </c>
      <c r="B115" s="5">
        <v>45889.472084976849</v>
      </c>
      <c r="C115" s="5">
        <v>45889.563600474539</v>
      </c>
      <c r="D115" t="s">
        <v>21</v>
      </c>
      <c r="E115" t="s">
        <v>22</v>
      </c>
      <c r="F115" t="s">
        <v>255</v>
      </c>
      <c r="G115" t="s">
        <v>11</v>
      </c>
      <c r="H115" s="7">
        <f>(Table2[[#This Row],[resolution_date]]-Table2[[#This Row],[submission_date]])*24</f>
        <v>2.1963719445629977</v>
      </c>
      <c r="I115" t="str">
        <f>TEXT(Table2[[#This Row],[submission_date]],"ddd")</f>
        <v>Wed</v>
      </c>
      <c r="J115" t="str">
        <f>TEXT(Table2[[#This Row],[submission_date]],"mmm")</f>
        <v>Aug</v>
      </c>
      <c r="K115">
        <f>HOUR(Table2[[#This Row],[resolution_date]])</f>
        <v>13</v>
      </c>
    </row>
    <row r="116" spans="1:11" x14ac:dyDescent="0.3">
      <c r="A116" t="s">
        <v>256</v>
      </c>
      <c r="B116" s="5">
        <v>45834.277258101851</v>
      </c>
      <c r="C116" s="5">
        <v>45834.880186099537</v>
      </c>
      <c r="D116" t="s">
        <v>8</v>
      </c>
      <c r="E116" t="s">
        <v>25</v>
      </c>
      <c r="F116" t="s">
        <v>257</v>
      </c>
      <c r="G116" t="s">
        <v>16</v>
      </c>
      <c r="H116" s="7">
        <f>(Table2[[#This Row],[resolution_date]]-Table2[[#This Row],[submission_date]])*24</f>
        <v>14.470271944475826</v>
      </c>
      <c r="I116" t="str">
        <f>TEXT(Table2[[#This Row],[submission_date]],"ddd")</f>
        <v>Thu</v>
      </c>
      <c r="J116" t="str">
        <f>TEXT(Table2[[#This Row],[submission_date]],"mmm")</f>
        <v>Jun</v>
      </c>
      <c r="K116">
        <f>HOUR(Table2[[#This Row],[resolution_date]])</f>
        <v>21</v>
      </c>
    </row>
    <row r="117" spans="1:11" x14ac:dyDescent="0.3">
      <c r="A117" t="s">
        <v>258</v>
      </c>
      <c r="B117" s="5">
        <v>45904.00158491898</v>
      </c>
      <c r="C117" s="5">
        <v>45908.743611006947</v>
      </c>
      <c r="D117" t="s">
        <v>31</v>
      </c>
      <c r="E117" t="s">
        <v>55</v>
      </c>
      <c r="F117" t="s">
        <v>259</v>
      </c>
      <c r="G117" t="s">
        <v>29</v>
      </c>
      <c r="H117" s="7">
        <f>(Table2[[#This Row],[resolution_date]]-Table2[[#This Row],[submission_date]])*24</f>
        <v>113.80862611118937</v>
      </c>
      <c r="I117" t="str">
        <f>TEXT(Table2[[#This Row],[submission_date]],"ddd")</f>
        <v>Thu</v>
      </c>
      <c r="J117" t="str">
        <f>TEXT(Table2[[#This Row],[submission_date]],"mmm")</f>
        <v>Sep</v>
      </c>
      <c r="K117">
        <f>HOUR(Table2[[#This Row],[resolution_date]])</f>
        <v>17</v>
      </c>
    </row>
    <row r="118" spans="1:11" x14ac:dyDescent="0.3">
      <c r="A118" t="s">
        <v>260</v>
      </c>
      <c r="B118" s="5">
        <v>45852.145348541664</v>
      </c>
      <c r="C118" s="5">
        <v>45853.493291354163</v>
      </c>
      <c r="D118" t="s">
        <v>13</v>
      </c>
      <c r="E118" t="s">
        <v>18</v>
      </c>
      <c r="F118" t="s">
        <v>261</v>
      </c>
      <c r="G118" t="s">
        <v>16</v>
      </c>
      <c r="H118" s="7">
        <f>(Table2[[#This Row],[resolution_date]]-Table2[[#This Row],[submission_date]])*24</f>
        <v>32.350627499981783</v>
      </c>
      <c r="I118" t="str">
        <f>TEXT(Table2[[#This Row],[submission_date]],"ddd")</f>
        <v>Mon</v>
      </c>
      <c r="J118" t="str">
        <f>TEXT(Table2[[#This Row],[submission_date]],"mmm")</f>
        <v>Jul</v>
      </c>
      <c r="K118">
        <f>HOUR(Table2[[#This Row],[resolution_date]])</f>
        <v>11</v>
      </c>
    </row>
    <row r="119" spans="1:11" x14ac:dyDescent="0.3">
      <c r="A119" t="s">
        <v>262</v>
      </c>
      <c r="B119" s="5">
        <v>45862.277817847222</v>
      </c>
      <c r="C119" s="5">
        <v>45864.09636747685</v>
      </c>
      <c r="D119" t="s">
        <v>31</v>
      </c>
      <c r="E119" t="s">
        <v>46</v>
      </c>
      <c r="F119" t="s">
        <v>263</v>
      </c>
      <c r="G119" t="s">
        <v>16</v>
      </c>
      <c r="H119" s="7">
        <f>(Table2[[#This Row],[resolution_date]]-Table2[[#This Row],[submission_date]])*24</f>
        <v>43.64519111107802</v>
      </c>
      <c r="I119" t="str">
        <f>TEXT(Table2[[#This Row],[submission_date]],"ddd")</f>
        <v>Thu</v>
      </c>
      <c r="J119" t="str">
        <f>TEXT(Table2[[#This Row],[submission_date]],"mmm")</f>
        <v>Jul</v>
      </c>
      <c r="K119">
        <f>HOUR(Table2[[#This Row],[resolution_date]])</f>
        <v>2</v>
      </c>
    </row>
    <row r="120" spans="1:11" x14ac:dyDescent="0.3">
      <c r="A120" t="s">
        <v>264</v>
      </c>
      <c r="B120" s="5">
        <v>45872.946095937499</v>
      </c>
      <c r="C120" s="5">
        <v>45879.541631354165</v>
      </c>
      <c r="D120" t="s">
        <v>81</v>
      </c>
      <c r="E120" t="s">
        <v>32</v>
      </c>
      <c r="F120" t="s">
        <v>265</v>
      </c>
      <c r="G120" t="s">
        <v>29</v>
      </c>
      <c r="H120" s="7">
        <f>(Table2[[#This Row],[resolution_date]]-Table2[[#This Row],[submission_date]])*24</f>
        <v>158.29284999996889</v>
      </c>
      <c r="I120" t="str">
        <f>TEXT(Table2[[#This Row],[submission_date]],"ddd")</f>
        <v>Sun</v>
      </c>
      <c r="J120" t="str">
        <f>TEXT(Table2[[#This Row],[submission_date]],"mmm")</f>
        <v>Aug</v>
      </c>
      <c r="K120">
        <f>HOUR(Table2[[#This Row],[resolution_date]])</f>
        <v>12</v>
      </c>
    </row>
    <row r="121" spans="1:11" x14ac:dyDescent="0.3">
      <c r="A121" t="s">
        <v>266</v>
      </c>
      <c r="B121" s="5">
        <v>45850.010814976849</v>
      </c>
      <c r="C121" s="5">
        <v>45850.795333125003</v>
      </c>
      <c r="D121" t="s">
        <v>21</v>
      </c>
      <c r="E121" t="s">
        <v>14</v>
      </c>
      <c r="F121" t="s">
        <v>267</v>
      </c>
      <c r="G121" t="s">
        <v>16</v>
      </c>
      <c r="H121" s="7">
        <f>(Table2[[#This Row],[resolution_date]]-Table2[[#This Row],[submission_date]])*24</f>
        <v>18.828435555682518</v>
      </c>
      <c r="I121" t="str">
        <f>TEXT(Table2[[#This Row],[submission_date]],"ddd")</f>
        <v>Sat</v>
      </c>
      <c r="J121" t="str">
        <f>TEXT(Table2[[#This Row],[submission_date]],"mmm")</f>
        <v>Jul</v>
      </c>
      <c r="K121">
        <f>HOUR(Table2[[#This Row],[resolution_date]])</f>
        <v>19</v>
      </c>
    </row>
    <row r="122" spans="1:11" x14ac:dyDescent="0.3">
      <c r="A122" t="s">
        <v>268</v>
      </c>
      <c r="B122" s="5">
        <v>45857.543304513893</v>
      </c>
      <c r="C122" s="5">
        <v>45858.309298784719</v>
      </c>
      <c r="D122" t="s">
        <v>8</v>
      </c>
      <c r="E122" t="s">
        <v>25</v>
      </c>
      <c r="F122" t="s">
        <v>269</v>
      </c>
      <c r="G122" t="s">
        <v>16</v>
      </c>
      <c r="H122" s="7">
        <f>(Table2[[#This Row],[resolution_date]]-Table2[[#This Row],[submission_date]])*24</f>
        <v>18.383862499846146</v>
      </c>
      <c r="I122" t="str">
        <f>TEXT(Table2[[#This Row],[submission_date]],"ddd")</f>
        <v>Sat</v>
      </c>
      <c r="J122" t="str">
        <f>TEXT(Table2[[#This Row],[submission_date]],"mmm")</f>
        <v>Jul</v>
      </c>
      <c r="K122">
        <f>HOUR(Table2[[#This Row],[resolution_date]])</f>
        <v>7</v>
      </c>
    </row>
    <row r="123" spans="1:11" x14ac:dyDescent="0.3">
      <c r="A123" t="s">
        <v>270</v>
      </c>
      <c r="B123" s="5">
        <v>45837.839233402781</v>
      </c>
      <c r="C123" s="5">
        <v>45838.438694236109</v>
      </c>
      <c r="D123" t="s">
        <v>31</v>
      </c>
      <c r="E123" t="s">
        <v>42</v>
      </c>
      <c r="F123" t="s">
        <v>271</v>
      </c>
      <c r="G123" t="s">
        <v>16</v>
      </c>
      <c r="H123" s="7">
        <f>(Table2[[#This Row],[resolution_date]]-Table2[[#This Row],[submission_date]])*24</f>
        <v>14.387059999862686</v>
      </c>
      <c r="I123" t="str">
        <f>TEXT(Table2[[#This Row],[submission_date]],"ddd")</f>
        <v>Sun</v>
      </c>
      <c r="J123" t="str">
        <f>TEXT(Table2[[#This Row],[submission_date]],"mmm")</f>
        <v>Jun</v>
      </c>
      <c r="K123">
        <f>HOUR(Table2[[#This Row],[resolution_date]])</f>
        <v>10</v>
      </c>
    </row>
    <row r="124" spans="1:11" x14ac:dyDescent="0.3">
      <c r="A124" t="s">
        <v>272</v>
      </c>
      <c r="B124" s="5">
        <v>45867.618249085652</v>
      </c>
      <c r="C124" s="5">
        <v>45868.392216446759</v>
      </c>
      <c r="D124" t="s">
        <v>13</v>
      </c>
      <c r="E124" t="s">
        <v>9</v>
      </c>
      <c r="F124" t="s">
        <v>273</v>
      </c>
      <c r="G124" t="s">
        <v>16</v>
      </c>
      <c r="H124" s="7">
        <f>(Table2[[#This Row],[resolution_date]]-Table2[[#This Row],[submission_date]])*24</f>
        <v>18.575216666562483</v>
      </c>
      <c r="I124" t="str">
        <f>TEXT(Table2[[#This Row],[submission_date]],"ddd")</f>
        <v>Tue</v>
      </c>
      <c r="J124" t="str">
        <f>TEXT(Table2[[#This Row],[submission_date]],"mmm")</f>
        <v>Jul</v>
      </c>
      <c r="K124">
        <f>HOUR(Table2[[#This Row],[resolution_date]])</f>
        <v>9</v>
      </c>
    </row>
    <row r="125" spans="1:11" x14ac:dyDescent="0.3">
      <c r="A125" t="s">
        <v>274</v>
      </c>
      <c r="B125" s="5">
        <v>45888.049664409722</v>
      </c>
      <c r="C125" s="5">
        <v>45889.796211516201</v>
      </c>
      <c r="D125" t="s">
        <v>45</v>
      </c>
      <c r="E125" t="s">
        <v>14</v>
      </c>
      <c r="F125" t="s">
        <v>275</v>
      </c>
      <c r="G125" t="s">
        <v>16</v>
      </c>
      <c r="H125" s="7">
        <f>(Table2[[#This Row],[resolution_date]]-Table2[[#This Row],[submission_date]])*24</f>
        <v>41.917130555491894</v>
      </c>
      <c r="I125" t="str">
        <f>TEXT(Table2[[#This Row],[submission_date]],"ddd")</f>
        <v>Tue</v>
      </c>
      <c r="J125" t="str">
        <f>TEXT(Table2[[#This Row],[submission_date]],"mmm")</f>
        <v>Aug</v>
      </c>
      <c r="K125">
        <f>HOUR(Table2[[#This Row],[resolution_date]])</f>
        <v>19</v>
      </c>
    </row>
    <row r="126" spans="1:11" x14ac:dyDescent="0.3">
      <c r="A126" t="s">
        <v>276</v>
      </c>
      <c r="B126" s="5">
        <v>45833.252764166667</v>
      </c>
      <c r="C126" s="5">
        <v>45833.782323101848</v>
      </c>
      <c r="D126" t="s">
        <v>81</v>
      </c>
      <c r="E126" t="s">
        <v>55</v>
      </c>
      <c r="F126" t="s">
        <v>277</v>
      </c>
      <c r="G126" t="s">
        <v>16</v>
      </c>
      <c r="H126" s="7">
        <f>(Table2[[#This Row],[resolution_date]]-Table2[[#This Row],[submission_date]])*24</f>
        <v>12.709414444339927</v>
      </c>
      <c r="I126" t="str">
        <f>TEXT(Table2[[#This Row],[submission_date]],"ddd")</f>
        <v>Wed</v>
      </c>
      <c r="J126" t="str">
        <f>TEXT(Table2[[#This Row],[submission_date]],"mmm")</f>
        <v>Jun</v>
      </c>
      <c r="K126">
        <f>HOUR(Table2[[#This Row],[resolution_date]])</f>
        <v>18</v>
      </c>
    </row>
    <row r="127" spans="1:11" x14ac:dyDescent="0.3">
      <c r="A127" t="s">
        <v>278</v>
      </c>
      <c r="B127" s="5">
        <v>45871.769415833332</v>
      </c>
      <c r="C127" s="5">
        <v>45872.507896226853</v>
      </c>
      <c r="D127" t="s">
        <v>81</v>
      </c>
      <c r="E127" t="s">
        <v>22</v>
      </c>
      <c r="F127" t="s">
        <v>279</v>
      </c>
      <c r="G127" t="s">
        <v>16</v>
      </c>
      <c r="H127" s="7">
        <f>(Table2[[#This Row],[resolution_date]]-Table2[[#This Row],[submission_date]])*24</f>
        <v>17.723529444483574</v>
      </c>
      <c r="I127" t="str">
        <f>TEXT(Table2[[#This Row],[submission_date]],"ddd")</f>
        <v>Sat</v>
      </c>
      <c r="J127" t="str">
        <f>TEXT(Table2[[#This Row],[submission_date]],"mmm")</f>
        <v>Aug</v>
      </c>
      <c r="K127">
        <f>HOUR(Table2[[#This Row],[resolution_date]])</f>
        <v>12</v>
      </c>
    </row>
    <row r="128" spans="1:11" x14ac:dyDescent="0.3">
      <c r="A128" t="s">
        <v>280</v>
      </c>
      <c r="B128" s="5">
        <v>45895.01577233796</v>
      </c>
      <c r="C128" s="5">
        <v>45898.961600011571</v>
      </c>
      <c r="D128" t="s">
        <v>21</v>
      </c>
      <c r="E128" t="s">
        <v>32</v>
      </c>
      <c r="F128" t="s">
        <v>281</v>
      </c>
      <c r="G128" t="s">
        <v>29</v>
      </c>
      <c r="H128" s="7">
        <f>(Table2[[#This Row],[resolution_date]]-Table2[[#This Row],[submission_date]])*24</f>
        <v>94.699864166672342</v>
      </c>
      <c r="I128" t="str">
        <f>TEXT(Table2[[#This Row],[submission_date]],"ddd")</f>
        <v>Tue</v>
      </c>
      <c r="J128" t="str">
        <f>TEXT(Table2[[#This Row],[submission_date]],"mmm")</f>
        <v>Aug</v>
      </c>
      <c r="K128">
        <f>HOUR(Table2[[#This Row],[resolution_date]])</f>
        <v>23</v>
      </c>
    </row>
    <row r="129" spans="1:11" x14ac:dyDescent="0.3">
      <c r="A129" t="s">
        <v>282</v>
      </c>
      <c r="B129" s="5">
        <v>45855.641187476853</v>
      </c>
      <c r="C129" s="5">
        <v>45860.058005162035</v>
      </c>
      <c r="D129" t="s">
        <v>13</v>
      </c>
      <c r="E129" t="s">
        <v>55</v>
      </c>
      <c r="F129" t="s">
        <v>283</v>
      </c>
      <c r="G129" t="s">
        <v>29</v>
      </c>
      <c r="H129" s="7">
        <f>(Table2[[#This Row],[resolution_date]]-Table2[[#This Row],[submission_date]])*24</f>
        <v>106.00362444436178</v>
      </c>
      <c r="I129" t="str">
        <f>TEXT(Table2[[#This Row],[submission_date]],"ddd")</f>
        <v>Thu</v>
      </c>
      <c r="J129" t="str">
        <f>TEXT(Table2[[#This Row],[submission_date]],"mmm")</f>
        <v>Jul</v>
      </c>
      <c r="K129">
        <f>HOUR(Table2[[#This Row],[resolution_date]])</f>
        <v>1</v>
      </c>
    </row>
    <row r="130" spans="1:11" x14ac:dyDescent="0.3">
      <c r="A130" t="s">
        <v>284</v>
      </c>
      <c r="B130" s="5">
        <v>45909.709815717593</v>
      </c>
      <c r="C130" s="5">
        <v>45910.054590312502</v>
      </c>
      <c r="D130" t="s">
        <v>45</v>
      </c>
      <c r="E130" t="s">
        <v>18</v>
      </c>
      <c r="F130" t="s">
        <v>285</v>
      </c>
      <c r="G130" t="s">
        <v>11</v>
      </c>
      <c r="H130" s="7">
        <f>(Table2[[#This Row],[resolution_date]]-Table2[[#This Row],[submission_date]])*24</f>
        <v>8.2745902778115124</v>
      </c>
      <c r="I130" t="str">
        <f>TEXT(Table2[[#This Row],[submission_date]],"ddd")</f>
        <v>Tue</v>
      </c>
      <c r="J130" t="str">
        <f>TEXT(Table2[[#This Row],[submission_date]],"mmm")</f>
        <v>Sep</v>
      </c>
      <c r="K130">
        <f>HOUR(Table2[[#This Row],[resolution_date]])</f>
        <v>1</v>
      </c>
    </row>
    <row r="131" spans="1:11" x14ac:dyDescent="0.3">
      <c r="A131" t="s">
        <v>286</v>
      </c>
      <c r="B131" s="5">
        <v>45906.729388576387</v>
      </c>
      <c r="C131" s="5">
        <v>45908.672971944441</v>
      </c>
      <c r="D131" t="s">
        <v>8</v>
      </c>
      <c r="E131" t="s">
        <v>14</v>
      </c>
      <c r="F131" t="s">
        <v>287</v>
      </c>
      <c r="G131" t="s">
        <v>16</v>
      </c>
      <c r="H131" s="7">
        <f>(Table2[[#This Row],[resolution_date]]-Table2[[#This Row],[submission_date]])*24</f>
        <v>46.64600083330879</v>
      </c>
      <c r="I131" t="str">
        <f>TEXT(Table2[[#This Row],[submission_date]],"ddd")</f>
        <v>Sat</v>
      </c>
      <c r="J131" t="str">
        <f>TEXT(Table2[[#This Row],[submission_date]],"mmm")</f>
        <v>Sep</v>
      </c>
      <c r="K131">
        <f>HOUR(Table2[[#This Row],[resolution_date]])</f>
        <v>16</v>
      </c>
    </row>
    <row r="132" spans="1:11" x14ac:dyDescent="0.3">
      <c r="A132" t="s">
        <v>288</v>
      </c>
      <c r="B132" s="5">
        <v>45910.871020706021</v>
      </c>
      <c r="C132" s="5">
        <v>45912.692476354168</v>
      </c>
      <c r="D132" t="s">
        <v>81</v>
      </c>
      <c r="E132" t="s">
        <v>35</v>
      </c>
      <c r="F132" t="s">
        <v>289</v>
      </c>
      <c r="G132" t="s">
        <v>29</v>
      </c>
      <c r="H132" s="7">
        <f>(Table2[[#This Row],[resolution_date]]-Table2[[#This Row],[submission_date]])*24</f>
        <v>43.714935555530246</v>
      </c>
      <c r="I132" t="str">
        <f>TEXT(Table2[[#This Row],[submission_date]],"ddd")</f>
        <v>Wed</v>
      </c>
      <c r="J132" t="str">
        <f>TEXT(Table2[[#This Row],[submission_date]],"mmm")</f>
        <v>Sep</v>
      </c>
      <c r="K132">
        <f>HOUR(Table2[[#This Row],[resolution_date]])</f>
        <v>16</v>
      </c>
    </row>
    <row r="133" spans="1:11" x14ac:dyDescent="0.3">
      <c r="A133" t="s">
        <v>290</v>
      </c>
      <c r="B133" s="5">
        <v>45879.520755300924</v>
      </c>
      <c r="C133" s="5">
        <v>45883.389230601853</v>
      </c>
      <c r="D133" t="s">
        <v>81</v>
      </c>
      <c r="E133" t="s">
        <v>18</v>
      </c>
      <c r="F133" t="s">
        <v>291</v>
      </c>
      <c r="G133" t="s">
        <v>29</v>
      </c>
      <c r="H133" s="7">
        <f>(Table2[[#This Row],[resolution_date]]-Table2[[#This Row],[submission_date]])*24</f>
        <v>92.843407222302631</v>
      </c>
      <c r="I133" t="str">
        <f>TEXT(Table2[[#This Row],[submission_date]],"ddd")</f>
        <v>Sun</v>
      </c>
      <c r="J133" t="str">
        <f>TEXT(Table2[[#This Row],[submission_date]],"mmm")</f>
        <v>Aug</v>
      </c>
      <c r="K133">
        <f>HOUR(Table2[[#This Row],[resolution_date]])</f>
        <v>9</v>
      </c>
    </row>
    <row r="134" spans="1:11" x14ac:dyDescent="0.3">
      <c r="A134" t="s">
        <v>292</v>
      </c>
      <c r="B134" s="5">
        <v>45907.109921354167</v>
      </c>
      <c r="C134" s="5">
        <v>45910.587372002316</v>
      </c>
      <c r="D134" t="s">
        <v>8</v>
      </c>
      <c r="E134" t="s">
        <v>42</v>
      </c>
      <c r="F134" t="s">
        <v>293</v>
      </c>
      <c r="G134" t="s">
        <v>29</v>
      </c>
      <c r="H134" s="7">
        <f>(Table2[[#This Row],[resolution_date]]-Table2[[#This Row],[submission_date]])*24</f>
        <v>83.458815555553883</v>
      </c>
      <c r="I134" t="str">
        <f>TEXT(Table2[[#This Row],[submission_date]],"ddd")</f>
        <v>Sun</v>
      </c>
      <c r="J134" t="str">
        <f>TEXT(Table2[[#This Row],[submission_date]],"mmm")</f>
        <v>Sep</v>
      </c>
      <c r="K134">
        <f>HOUR(Table2[[#This Row],[resolution_date]])</f>
        <v>14</v>
      </c>
    </row>
    <row r="135" spans="1:11" x14ac:dyDescent="0.3">
      <c r="A135" t="s">
        <v>294</v>
      </c>
      <c r="B135" s="5">
        <v>45859.296687372684</v>
      </c>
      <c r="C135" s="5">
        <v>45859.711959270833</v>
      </c>
      <c r="D135" t="s">
        <v>31</v>
      </c>
      <c r="E135" t="s">
        <v>22</v>
      </c>
      <c r="F135" t="s">
        <v>295</v>
      </c>
      <c r="G135" t="s">
        <v>11</v>
      </c>
      <c r="H135" s="7">
        <f>(Table2[[#This Row],[resolution_date]]-Table2[[#This Row],[submission_date]])*24</f>
        <v>9.966525555588305</v>
      </c>
      <c r="I135" t="str">
        <f>TEXT(Table2[[#This Row],[submission_date]],"ddd")</f>
        <v>Mon</v>
      </c>
      <c r="J135" t="str">
        <f>TEXT(Table2[[#This Row],[submission_date]],"mmm")</f>
        <v>Jul</v>
      </c>
      <c r="K135">
        <f>HOUR(Table2[[#This Row],[resolution_date]])</f>
        <v>17</v>
      </c>
    </row>
    <row r="136" spans="1:11" x14ac:dyDescent="0.3">
      <c r="A136" t="s">
        <v>296</v>
      </c>
      <c r="B136" s="5">
        <v>45884.043633368055</v>
      </c>
      <c r="C136" s="5">
        <v>45891.026826423615</v>
      </c>
      <c r="D136" t="s">
        <v>8</v>
      </c>
      <c r="E136" t="s">
        <v>32</v>
      </c>
      <c r="F136" t="s">
        <v>297</v>
      </c>
      <c r="G136" t="s">
        <v>29</v>
      </c>
      <c r="H136" s="7">
        <f>(Table2[[#This Row],[resolution_date]]-Table2[[#This Row],[submission_date]])*24</f>
        <v>167.59663333342178</v>
      </c>
      <c r="I136" t="str">
        <f>TEXT(Table2[[#This Row],[submission_date]],"ddd")</f>
        <v>Fri</v>
      </c>
      <c r="J136" t="str">
        <f>TEXT(Table2[[#This Row],[submission_date]],"mmm")</f>
        <v>Aug</v>
      </c>
      <c r="K136">
        <f>HOUR(Table2[[#This Row],[resolution_date]])</f>
        <v>0</v>
      </c>
    </row>
    <row r="137" spans="1:11" x14ac:dyDescent="0.3">
      <c r="A137" t="s">
        <v>298</v>
      </c>
      <c r="B137" s="5">
        <v>45832.24807454861</v>
      </c>
      <c r="C137" s="5">
        <v>45837.032086712963</v>
      </c>
      <c r="D137" t="s">
        <v>60</v>
      </c>
      <c r="E137" t="s">
        <v>35</v>
      </c>
      <c r="F137" t="s">
        <v>299</v>
      </c>
      <c r="G137" t="s">
        <v>29</v>
      </c>
      <c r="H137" s="7">
        <f>(Table2[[#This Row],[resolution_date]]-Table2[[#This Row],[submission_date]])*24</f>
        <v>114.81629194447305</v>
      </c>
      <c r="I137" t="str">
        <f>TEXT(Table2[[#This Row],[submission_date]],"ddd")</f>
        <v>Tue</v>
      </c>
      <c r="J137" t="str">
        <f>TEXT(Table2[[#This Row],[submission_date]],"mmm")</f>
        <v>Jun</v>
      </c>
      <c r="K137">
        <f>HOUR(Table2[[#This Row],[resolution_date]])</f>
        <v>0</v>
      </c>
    </row>
    <row r="138" spans="1:11" x14ac:dyDescent="0.3">
      <c r="A138" t="s">
        <v>300</v>
      </c>
      <c r="B138" s="5">
        <v>45914.743208043983</v>
      </c>
      <c r="C138" s="5">
        <v>45917.991188726854</v>
      </c>
      <c r="D138" t="s">
        <v>21</v>
      </c>
      <c r="E138" t="s">
        <v>35</v>
      </c>
      <c r="F138" t="s">
        <v>301</v>
      </c>
      <c r="G138" t="s">
        <v>29</v>
      </c>
      <c r="H138" s="7">
        <f>(Table2[[#This Row],[resolution_date]]-Table2[[#This Row],[submission_date]])*24</f>
        <v>77.951536388893146</v>
      </c>
      <c r="I138" t="str">
        <f>TEXT(Table2[[#This Row],[submission_date]],"ddd")</f>
        <v>Sun</v>
      </c>
      <c r="J138" t="str">
        <f>TEXT(Table2[[#This Row],[submission_date]],"mmm")</f>
        <v>Sep</v>
      </c>
      <c r="K138">
        <f>HOUR(Table2[[#This Row],[resolution_date]])</f>
        <v>23</v>
      </c>
    </row>
    <row r="139" spans="1:11" x14ac:dyDescent="0.3">
      <c r="A139" t="s">
        <v>302</v>
      </c>
      <c r="B139" s="5">
        <v>45837.385131631941</v>
      </c>
      <c r="C139" s="5">
        <v>45838.970033020836</v>
      </c>
      <c r="D139" t="s">
        <v>21</v>
      </c>
      <c r="E139" t="s">
        <v>14</v>
      </c>
      <c r="F139" t="s">
        <v>303</v>
      </c>
      <c r="G139" t="s">
        <v>29</v>
      </c>
      <c r="H139" s="7">
        <f>(Table2[[#This Row],[resolution_date]]-Table2[[#This Row],[submission_date]])*24</f>
        <v>38.037633333471604</v>
      </c>
      <c r="I139" t="str">
        <f>TEXT(Table2[[#This Row],[submission_date]],"ddd")</f>
        <v>Sun</v>
      </c>
      <c r="J139" t="str">
        <f>TEXT(Table2[[#This Row],[submission_date]],"mmm")</f>
        <v>Jun</v>
      </c>
      <c r="K139">
        <f>HOUR(Table2[[#This Row],[resolution_date]])</f>
        <v>23</v>
      </c>
    </row>
    <row r="140" spans="1:11" x14ac:dyDescent="0.3">
      <c r="A140" t="s">
        <v>304</v>
      </c>
      <c r="B140" s="5">
        <v>45888.557472025466</v>
      </c>
      <c r="C140" s="5">
        <v>45889.528593067131</v>
      </c>
      <c r="D140" t="s">
        <v>13</v>
      </c>
      <c r="E140" t="s">
        <v>9</v>
      </c>
      <c r="F140" t="s">
        <v>305</v>
      </c>
      <c r="G140" t="s">
        <v>16</v>
      </c>
      <c r="H140" s="7">
        <f>(Table2[[#This Row],[resolution_date]]-Table2[[#This Row],[submission_date]])*24</f>
        <v>23.30690499994671</v>
      </c>
      <c r="I140" t="str">
        <f>TEXT(Table2[[#This Row],[submission_date]],"ddd")</f>
        <v>Tue</v>
      </c>
      <c r="J140" t="str">
        <f>TEXT(Table2[[#This Row],[submission_date]],"mmm")</f>
        <v>Aug</v>
      </c>
      <c r="K140">
        <f>HOUR(Table2[[#This Row],[resolution_date]])</f>
        <v>12</v>
      </c>
    </row>
    <row r="141" spans="1:11" x14ac:dyDescent="0.3">
      <c r="A141" t="s">
        <v>306</v>
      </c>
      <c r="B141" s="5">
        <v>45890.610338888888</v>
      </c>
      <c r="C141" s="5">
        <v>45896.433827546294</v>
      </c>
      <c r="D141" t="s">
        <v>45</v>
      </c>
      <c r="E141" t="s">
        <v>35</v>
      </c>
      <c r="F141" t="s">
        <v>307</v>
      </c>
      <c r="G141" t="s">
        <v>29</v>
      </c>
      <c r="H141" s="7">
        <f>(Table2[[#This Row],[resolution_date]]-Table2[[#This Row],[submission_date]])*24</f>
        <v>139.76372777775396</v>
      </c>
      <c r="I141" t="str">
        <f>TEXT(Table2[[#This Row],[submission_date]],"ddd")</f>
        <v>Thu</v>
      </c>
      <c r="J141" t="str">
        <f>TEXT(Table2[[#This Row],[submission_date]],"mmm")</f>
        <v>Aug</v>
      </c>
      <c r="K141">
        <f>HOUR(Table2[[#This Row],[resolution_date]])</f>
        <v>10</v>
      </c>
    </row>
    <row r="142" spans="1:11" x14ac:dyDescent="0.3">
      <c r="A142" t="s">
        <v>308</v>
      </c>
      <c r="B142" s="5">
        <v>45874.456965682868</v>
      </c>
      <c r="C142" s="5">
        <v>45875.076861180554</v>
      </c>
      <c r="D142" t="s">
        <v>21</v>
      </c>
      <c r="E142" t="s">
        <v>46</v>
      </c>
      <c r="F142" t="s">
        <v>309</v>
      </c>
      <c r="G142" t="s">
        <v>16</v>
      </c>
      <c r="H142" s="7">
        <f>(Table2[[#This Row],[resolution_date]]-Table2[[#This Row],[submission_date]])*24</f>
        <v>14.877491944469512</v>
      </c>
      <c r="I142" t="str">
        <f>TEXT(Table2[[#This Row],[submission_date]],"ddd")</f>
        <v>Tue</v>
      </c>
      <c r="J142" t="str">
        <f>TEXT(Table2[[#This Row],[submission_date]],"mmm")</f>
        <v>Aug</v>
      </c>
      <c r="K142">
        <f>HOUR(Table2[[#This Row],[resolution_date]])</f>
        <v>1</v>
      </c>
    </row>
    <row r="143" spans="1:11" x14ac:dyDescent="0.3">
      <c r="A143" t="s">
        <v>310</v>
      </c>
      <c r="B143" s="5">
        <v>45887.431979837966</v>
      </c>
      <c r="C143" s="5">
        <v>45887.968167638886</v>
      </c>
      <c r="D143" t="s">
        <v>21</v>
      </c>
      <c r="E143" t="s">
        <v>9</v>
      </c>
      <c r="F143" t="s">
        <v>311</v>
      </c>
      <c r="G143" t="s">
        <v>16</v>
      </c>
      <c r="H143" s="7">
        <f>(Table2[[#This Row],[resolution_date]]-Table2[[#This Row],[submission_date]])*24</f>
        <v>12.868507222097833</v>
      </c>
      <c r="I143" t="str">
        <f>TEXT(Table2[[#This Row],[submission_date]],"ddd")</f>
        <v>Mon</v>
      </c>
      <c r="J143" t="str">
        <f>TEXT(Table2[[#This Row],[submission_date]],"mmm")</f>
        <v>Aug</v>
      </c>
      <c r="K143">
        <f>HOUR(Table2[[#This Row],[resolution_date]])</f>
        <v>23</v>
      </c>
    </row>
    <row r="144" spans="1:11" x14ac:dyDescent="0.3">
      <c r="A144" t="s">
        <v>312</v>
      </c>
      <c r="B144" s="5">
        <v>45913.681012118053</v>
      </c>
      <c r="C144" s="5">
        <v>45914.899067337959</v>
      </c>
      <c r="D144" t="s">
        <v>45</v>
      </c>
      <c r="E144" t="s">
        <v>25</v>
      </c>
      <c r="F144" t="s">
        <v>313</v>
      </c>
      <c r="G144" t="s">
        <v>16</v>
      </c>
      <c r="H144" s="7">
        <f>(Table2[[#This Row],[resolution_date]]-Table2[[#This Row],[submission_date]])*24</f>
        <v>29.233325277746189</v>
      </c>
      <c r="I144" t="str">
        <f>TEXT(Table2[[#This Row],[submission_date]],"ddd")</f>
        <v>Sat</v>
      </c>
      <c r="J144" t="str">
        <f>TEXT(Table2[[#This Row],[submission_date]],"mmm")</f>
        <v>Sep</v>
      </c>
      <c r="K144">
        <f>HOUR(Table2[[#This Row],[resolution_date]])</f>
        <v>21</v>
      </c>
    </row>
    <row r="145" spans="1:11" x14ac:dyDescent="0.3">
      <c r="A145" t="s">
        <v>314</v>
      </c>
      <c r="B145" s="5">
        <v>45872.284382627317</v>
      </c>
      <c r="C145" s="5">
        <v>45875.951124525462</v>
      </c>
      <c r="D145" t="s">
        <v>21</v>
      </c>
      <c r="E145" t="s">
        <v>22</v>
      </c>
      <c r="F145" t="s">
        <v>315</v>
      </c>
      <c r="G145" t="s">
        <v>29</v>
      </c>
      <c r="H145" s="7">
        <f>(Table2[[#This Row],[resolution_date]]-Table2[[#This Row],[submission_date]])*24</f>
        <v>88.001805555482861</v>
      </c>
      <c r="I145" t="str">
        <f>TEXT(Table2[[#This Row],[submission_date]],"ddd")</f>
        <v>Sun</v>
      </c>
      <c r="J145" t="str">
        <f>TEXT(Table2[[#This Row],[submission_date]],"mmm")</f>
        <v>Aug</v>
      </c>
      <c r="K145">
        <f>HOUR(Table2[[#This Row],[resolution_date]])</f>
        <v>22</v>
      </c>
    </row>
    <row r="146" spans="1:11" x14ac:dyDescent="0.3">
      <c r="A146" t="s">
        <v>316</v>
      </c>
      <c r="B146" s="5">
        <v>45835.128006678242</v>
      </c>
      <c r="C146" s="5">
        <v>45835.63756747685</v>
      </c>
      <c r="D146" t="s">
        <v>13</v>
      </c>
      <c r="E146" t="s">
        <v>46</v>
      </c>
      <c r="F146" t="s">
        <v>317</v>
      </c>
      <c r="G146" t="s">
        <v>16</v>
      </c>
      <c r="H146" s="7">
        <f>(Table2[[#This Row],[resolution_date]]-Table2[[#This Row],[submission_date]])*24</f>
        <v>12.229459166585002</v>
      </c>
      <c r="I146" t="str">
        <f>TEXT(Table2[[#This Row],[submission_date]],"ddd")</f>
        <v>Fri</v>
      </c>
      <c r="J146" t="str">
        <f>TEXT(Table2[[#This Row],[submission_date]],"mmm")</f>
        <v>Jun</v>
      </c>
      <c r="K146">
        <f>HOUR(Table2[[#This Row],[resolution_date]])</f>
        <v>15</v>
      </c>
    </row>
    <row r="147" spans="1:11" x14ac:dyDescent="0.3">
      <c r="A147" t="s">
        <v>318</v>
      </c>
      <c r="B147" s="5">
        <v>45900.65947421296</v>
      </c>
      <c r="C147" s="5">
        <v>45900.743211898145</v>
      </c>
      <c r="D147" t="s">
        <v>81</v>
      </c>
      <c r="E147" t="s">
        <v>22</v>
      </c>
      <c r="F147" t="s">
        <v>319</v>
      </c>
      <c r="G147" t="s">
        <v>115</v>
      </c>
      <c r="H147" s="7">
        <f>(Table2[[#This Row],[resolution_date]]-Table2[[#This Row],[submission_date]])*24</f>
        <v>2.009704444441013</v>
      </c>
      <c r="I147" t="str">
        <f>TEXT(Table2[[#This Row],[submission_date]],"ddd")</f>
        <v>Sun</v>
      </c>
      <c r="J147" t="str">
        <f>TEXT(Table2[[#This Row],[submission_date]],"mmm")</f>
        <v>Aug</v>
      </c>
      <c r="K147">
        <f>HOUR(Table2[[#This Row],[resolution_date]])</f>
        <v>17</v>
      </c>
    </row>
    <row r="148" spans="1:11" x14ac:dyDescent="0.3">
      <c r="A148" t="s">
        <v>320</v>
      </c>
      <c r="B148" s="5">
        <v>45832.460665983795</v>
      </c>
      <c r="C148" s="5">
        <v>45832.787722476853</v>
      </c>
      <c r="D148" t="s">
        <v>45</v>
      </c>
      <c r="E148" t="s">
        <v>35</v>
      </c>
      <c r="F148" t="s">
        <v>321</v>
      </c>
      <c r="G148" t="s">
        <v>11</v>
      </c>
      <c r="H148" s="7">
        <f>(Table2[[#This Row],[resolution_date]]-Table2[[#This Row],[submission_date]])*24</f>
        <v>7.8493558333721012</v>
      </c>
      <c r="I148" t="str">
        <f>TEXT(Table2[[#This Row],[submission_date]],"ddd")</f>
        <v>Tue</v>
      </c>
      <c r="J148" t="str">
        <f>TEXT(Table2[[#This Row],[submission_date]],"mmm")</f>
        <v>Jun</v>
      </c>
      <c r="K148">
        <f>HOUR(Table2[[#This Row],[resolution_date]])</f>
        <v>18</v>
      </c>
    </row>
    <row r="149" spans="1:11" x14ac:dyDescent="0.3">
      <c r="A149" t="s">
        <v>322</v>
      </c>
      <c r="B149" s="5">
        <v>45902.70604621528</v>
      </c>
      <c r="C149" s="5">
        <v>45906.209134826386</v>
      </c>
      <c r="D149" t="s">
        <v>60</v>
      </c>
      <c r="E149" t="s">
        <v>22</v>
      </c>
      <c r="F149" t="s">
        <v>323</v>
      </c>
      <c r="G149" t="s">
        <v>29</v>
      </c>
      <c r="H149" s="7">
        <f>(Table2[[#This Row],[resolution_date]]-Table2[[#This Row],[submission_date]])*24</f>
        <v>84.074126666528173</v>
      </c>
      <c r="I149" t="str">
        <f>TEXT(Table2[[#This Row],[submission_date]],"ddd")</f>
        <v>Tue</v>
      </c>
      <c r="J149" t="str">
        <f>TEXT(Table2[[#This Row],[submission_date]],"mmm")</f>
        <v>Sep</v>
      </c>
      <c r="K149">
        <f>HOUR(Table2[[#This Row],[resolution_date]])</f>
        <v>5</v>
      </c>
    </row>
    <row r="150" spans="1:11" x14ac:dyDescent="0.3">
      <c r="A150" t="s">
        <v>324</v>
      </c>
      <c r="B150" s="5">
        <v>45854.598774027778</v>
      </c>
      <c r="C150" s="5">
        <v>45855.701526377314</v>
      </c>
      <c r="D150" t="s">
        <v>8</v>
      </c>
      <c r="E150" t="s">
        <v>42</v>
      </c>
      <c r="F150" t="s">
        <v>325</v>
      </c>
      <c r="G150" t="s">
        <v>16</v>
      </c>
      <c r="H150" s="7">
        <f>(Table2[[#This Row],[resolution_date]]-Table2[[#This Row],[submission_date]])*24</f>
        <v>26.466056388861034</v>
      </c>
      <c r="I150" t="str">
        <f>TEXT(Table2[[#This Row],[submission_date]],"ddd")</f>
        <v>Wed</v>
      </c>
      <c r="J150" t="str">
        <f>TEXT(Table2[[#This Row],[submission_date]],"mmm")</f>
        <v>Jul</v>
      </c>
      <c r="K150">
        <f>HOUR(Table2[[#This Row],[resolution_date]])</f>
        <v>16</v>
      </c>
    </row>
    <row r="151" spans="1:11" x14ac:dyDescent="0.3">
      <c r="A151" t="s">
        <v>326</v>
      </c>
      <c r="B151" s="5">
        <v>45869.175449467592</v>
      </c>
      <c r="C151" s="5">
        <v>45870.175988194445</v>
      </c>
      <c r="D151" t="s">
        <v>21</v>
      </c>
      <c r="E151" t="s">
        <v>9</v>
      </c>
      <c r="F151" t="s">
        <v>327</v>
      </c>
      <c r="G151" t="s">
        <v>16</v>
      </c>
      <c r="H151" s="7">
        <f>(Table2[[#This Row],[resolution_date]]-Table2[[#This Row],[submission_date]])*24</f>
        <v>24.012929444492329</v>
      </c>
      <c r="I151" t="str">
        <f>TEXT(Table2[[#This Row],[submission_date]],"ddd")</f>
        <v>Thu</v>
      </c>
      <c r="J151" t="str">
        <f>TEXT(Table2[[#This Row],[submission_date]],"mmm")</f>
        <v>Jul</v>
      </c>
      <c r="K151">
        <f>HOUR(Table2[[#This Row],[resolution_date]])</f>
        <v>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E94AB-145F-4652-BEF1-996E59F4DBCA}">
  <dimension ref="A3:L28"/>
  <sheetViews>
    <sheetView workbookViewId="0">
      <selection activeCell="B18" sqref="B18"/>
    </sheetView>
  </sheetViews>
  <sheetFormatPr defaultRowHeight="14.4" x14ac:dyDescent="0.3"/>
  <cols>
    <col min="1" max="1" width="12.5546875" bestFit="1" customWidth="1"/>
    <col min="2" max="2" width="16.109375" bestFit="1" customWidth="1"/>
    <col min="3" max="3" width="12.33203125" bestFit="1" customWidth="1"/>
    <col min="4" max="4" width="13.109375" bestFit="1" customWidth="1"/>
    <col min="5" max="5" width="24.33203125" bestFit="1" customWidth="1"/>
    <col min="6" max="6" width="16.109375" bestFit="1" customWidth="1"/>
    <col min="7" max="7" width="21.109375" bestFit="1" customWidth="1"/>
    <col min="8" max="8" width="15.5546875" bestFit="1" customWidth="1"/>
    <col min="9" max="9" width="6.5546875" bestFit="1" customWidth="1"/>
    <col min="10" max="10" width="7.5546875" bestFit="1" customWidth="1"/>
    <col min="11" max="11" width="8.109375" bestFit="1" customWidth="1"/>
    <col min="12" max="12" width="10.77734375" bestFit="1" customWidth="1"/>
    <col min="14" max="14" width="24.33203125" bestFit="1" customWidth="1"/>
    <col min="15" max="15" width="16.109375" bestFit="1" customWidth="1"/>
    <col min="16" max="17" width="16.21875" bestFit="1" customWidth="1"/>
  </cols>
  <sheetData>
    <row r="3" spans="1:12" x14ac:dyDescent="0.3">
      <c r="A3" s="8" t="s">
        <v>332</v>
      </c>
      <c r="B3" t="s">
        <v>341</v>
      </c>
      <c r="D3" s="8" t="s">
        <v>332</v>
      </c>
      <c r="E3" t="s">
        <v>341</v>
      </c>
      <c r="G3" s="8" t="s">
        <v>342</v>
      </c>
      <c r="H3" s="8" t="s">
        <v>343</v>
      </c>
    </row>
    <row r="4" spans="1:12" x14ac:dyDescent="0.3">
      <c r="A4" s="9">
        <v>0</v>
      </c>
      <c r="B4" s="6">
        <v>5</v>
      </c>
      <c r="D4" s="9" t="s">
        <v>338</v>
      </c>
      <c r="E4" s="6">
        <v>26</v>
      </c>
      <c r="G4" s="8" t="s">
        <v>332</v>
      </c>
      <c r="H4" t="s">
        <v>115</v>
      </c>
      <c r="I4" t="s">
        <v>11</v>
      </c>
      <c r="J4" t="s">
        <v>29</v>
      </c>
      <c r="K4" t="s">
        <v>16</v>
      </c>
      <c r="L4" t="s">
        <v>333</v>
      </c>
    </row>
    <row r="5" spans="1:12" x14ac:dyDescent="0.3">
      <c r="A5" s="9">
        <v>1</v>
      </c>
      <c r="B5" s="6">
        <v>8</v>
      </c>
      <c r="D5" s="9" t="s">
        <v>339</v>
      </c>
      <c r="E5" s="6">
        <v>19</v>
      </c>
      <c r="G5" s="9" t="s">
        <v>31</v>
      </c>
      <c r="H5" s="7"/>
      <c r="I5" s="7">
        <v>33.342099722125567</v>
      </c>
      <c r="J5" s="7">
        <v>513.44566388911335</v>
      </c>
      <c r="K5" s="7">
        <v>119.01403888879577</v>
      </c>
      <c r="L5" s="7">
        <v>665.80180250003468</v>
      </c>
    </row>
    <row r="6" spans="1:12" x14ac:dyDescent="0.3">
      <c r="A6" s="9">
        <v>2</v>
      </c>
      <c r="B6" s="6">
        <v>5</v>
      </c>
      <c r="D6" s="9" t="s">
        <v>334</v>
      </c>
      <c r="E6" s="6">
        <v>22</v>
      </c>
      <c r="G6" s="9" t="s">
        <v>81</v>
      </c>
      <c r="H6" s="7">
        <v>2.009704444441013</v>
      </c>
      <c r="I6" s="7">
        <v>4.2905480556073599</v>
      </c>
      <c r="J6" s="7">
        <v>638.69866583333351</v>
      </c>
      <c r="K6" s="7">
        <v>106.3952636111062</v>
      </c>
      <c r="L6" s="7">
        <v>751.39418194448808</v>
      </c>
    </row>
    <row r="7" spans="1:12" x14ac:dyDescent="0.3">
      <c r="A7" s="9">
        <v>3</v>
      </c>
      <c r="B7" s="6">
        <v>1</v>
      </c>
      <c r="D7" s="9" t="s">
        <v>337</v>
      </c>
      <c r="E7" s="6">
        <v>24</v>
      </c>
      <c r="G7" s="9" t="s">
        <v>21</v>
      </c>
      <c r="H7" s="7">
        <v>3.2174963888246566</v>
      </c>
      <c r="I7" s="7">
        <v>19.151982777693775</v>
      </c>
      <c r="J7" s="7">
        <v>818.85249750001822</v>
      </c>
      <c r="K7" s="7">
        <v>182.05690583348041</v>
      </c>
      <c r="L7" s="7">
        <v>1023.2788825000171</v>
      </c>
    </row>
    <row r="8" spans="1:12" x14ac:dyDescent="0.3">
      <c r="A8" s="9">
        <v>4</v>
      </c>
      <c r="B8" s="6">
        <v>3</v>
      </c>
      <c r="D8" s="9" t="s">
        <v>340</v>
      </c>
      <c r="E8" s="6">
        <v>23</v>
      </c>
      <c r="G8" s="9" t="s">
        <v>45</v>
      </c>
      <c r="H8" s="7"/>
      <c r="I8" s="7">
        <v>41.812318889074959</v>
      </c>
      <c r="J8" s="7">
        <v>762.55591916665435</v>
      </c>
      <c r="K8" s="7">
        <v>348.26443944411585</v>
      </c>
      <c r="L8" s="7">
        <v>1152.6326774998452</v>
      </c>
    </row>
    <row r="9" spans="1:12" x14ac:dyDescent="0.3">
      <c r="A9" s="9">
        <v>5</v>
      </c>
      <c r="B9" s="6">
        <v>4</v>
      </c>
      <c r="D9" s="9" t="s">
        <v>336</v>
      </c>
      <c r="E9" s="6">
        <v>16</v>
      </c>
      <c r="G9" s="9" t="s">
        <v>8</v>
      </c>
      <c r="H9" s="7"/>
      <c r="I9" s="7">
        <v>21.162100555608049</v>
      </c>
      <c r="J9" s="7">
        <v>662.13526416668901</v>
      </c>
      <c r="K9" s="7">
        <v>244.47529499977827</v>
      </c>
      <c r="L9" s="7">
        <v>927.77265972207533</v>
      </c>
    </row>
    <row r="10" spans="1:12" x14ac:dyDescent="0.3">
      <c r="A10" s="9">
        <v>6</v>
      </c>
      <c r="B10" s="6">
        <v>7</v>
      </c>
      <c r="D10" s="9" t="s">
        <v>335</v>
      </c>
      <c r="E10" s="6">
        <v>20</v>
      </c>
      <c r="G10" s="9" t="s">
        <v>60</v>
      </c>
      <c r="H10" s="7"/>
      <c r="I10" s="7">
        <v>6.9611850001383573</v>
      </c>
      <c r="J10" s="7">
        <v>677.80767555569764</v>
      </c>
      <c r="K10" s="7"/>
      <c r="L10" s="7">
        <v>684.768860555836</v>
      </c>
    </row>
    <row r="11" spans="1:12" x14ac:dyDescent="0.3">
      <c r="A11" s="9">
        <v>7</v>
      </c>
      <c r="B11" s="6">
        <v>7</v>
      </c>
      <c r="D11" s="9" t="s">
        <v>333</v>
      </c>
      <c r="E11" s="6">
        <v>150</v>
      </c>
      <c r="G11" s="9" t="s">
        <v>13</v>
      </c>
      <c r="H11" s="7">
        <v>3.6050999999279156</v>
      </c>
      <c r="I11" s="7">
        <v>40.238526111119427</v>
      </c>
      <c r="J11" s="7">
        <v>2024.6797330553527</v>
      </c>
      <c r="K11" s="7">
        <v>720.31953527714359</v>
      </c>
      <c r="L11" s="7">
        <v>2788.8428944435436</v>
      </c>
    </row>
    <row r="12" spans="1:12" x14ac:dyDescent="0.3">
      <c r="A12" s="9">
        <v>8</v>
      </c>
      <c r="B12" s="6">
        <v>5</v>
      </c>
      <c r="G12" s="9" t="s">
        <v>333</v>
      </c>
      <c r="H12" s="7">
        <v>8.8323008331935853</v>
      </c>
      <c r="I12" s="7">
        <v>166.95876111136749</v>
      </c>
      <c r="J12" s="7">
        <v>6098.1754191668588</v>
      </c>
      <c r="K12" s="7">
        <v>1720.5254780544201</v>
      </c>
      <c r="L12" s="7">
        <v>7994.4919591658399</v>
      </c>
    </row>
    <row r="13" spans="1:12" x14ac:dyDescent="0.3">
      <c r="A13" s="9">
        <v>9</v>
      </c>
      <c r="B13" s="6">
        <v>10</v>
      </c>
    </row>
    <row r="14" spans="1:12" x14ac:dyDescent="0.3">
      <c r="A14" s="9">
        <v>10</v>
      </c>
      <c r="B14" s="6">
        <v>9</v>
      </c>
    </row>
    <row r="15" spans="1:12" x14ac:dyDescent="0.3">
      <c r="A15" s="9">
        <v>11</v>
      </c>
      <c r="B15" s="6">
        <v>10</v>
      </c>
      <c r="D15" s="8" t="s">
        <v>332</v>
      </c>
      <c r="E15" t="s">
        <v>344</v>
      </c>
      <c r="F15" t="s">
        <v>341</v>
      </c>
    </row>
    <row r="16" spans="1:12" x14ac:dyDescent="0.3">
      <c r="A16" s="9">
        <v>12</v>
      </c>
      <c r="B16" s="6">
        <v>6</v>
      </c>
      <c r="D16" s="9" t="s">
        <v>35</v>
      </c>
      <c r="E16" s="7">
        <v>82.225628944439819</v>
      </c>
      <c r="F16" s="6">
        <v>15</v>
      </c>
    </row>
    <row r="17" spans="1:6" x14ac:dyDescent="0.3">
      <c r="A17" s="9">
        <v>13</v>
      </c>
      <c r="B17" s="6">
        <v>6</v>
      </c>
      <c r="D17" s="9" t="s">
        <v>32</v>
      </c>
      <c r="E17" s="7">
        <v>72.610398218949896</v>
      </c>
      <c r="F17" s="6">
        <v>17</v>
      </c>
    </row>
    <row r="18" spans="1:6" x14ac:dyDescent="0.3">
      <c r="A18" s="9">
        <v>14</v>
      </c>
      <c r="B18" s="6">
        <v>6</v>
      </c>
      <c r="D18" s="9" t="s">
        <v>18</v>
      </c>
      <c r="E18" s="7">
        <v>66.843557968742971</v>
      </c>
      <c r="F18" s="6">
        <v>16</v>
      </c>
    </row>
    <row r="19" spans="1:6" x14ac:dyDescent="0.3">
      <c r="A19" s="9">
        <v>15</v>
      </c>
      <c r="B19" s="6">
        <v>5</v>
      </c>
      <c r="D19" s="9" t="s">
        <v>55</v>
      </c>
      <c r="E19" s="7">
        <v>64.433295659713622</v>
      </c>
      <c r="F19" s="6">
        <v>8</v>
      </c>
    </row>
    <row r="20" spans="1:6" x14ac:dyDescent="0.3">
      <c r="A20" s="9">
        <v>16</v>
      </c>
      <c r="B20" s="6">
        <v>10</v>
      </c>
      <c r="D20" s="9" t="s">
        <v>22</v>
      </c>
      <c r="E20" s="7">
        <v>50.214652516334731</v>
      </c>
      <c r="F20" s="6">
        <v>17</v>
      </c>
    </row>
    <row r="21" spans="1:6" x14ac:dyDescent="0.3">
      <c r="A21" s="9">
        <v>17</v>
      </c>
      <c r="B21" s="6">
        <v>6</v>
      </c>
      <c r="D21" s="9" t="s">
        <v>14</v>
      </c>
      <c r="E21" s="7">
        <v>47.042569012355266</v>
      </c>
      <c r="F21" s="6">
        <v>27</v>
      </c>
    </row>
    <row r="22" spans="1:6" x14ac:dyDescent="0.3">
      <c r="A22" s="9">
        <v>18</v>
      </c>
      <c r="B22" s="6">
        <v>3</v>
      </c>
      <c r="D22" s="9" t="s">
        <v>42</v>
      </c>
      <c r="E22" s="7">
        <v>46.389953906244045</v>
      </c>
      <c r="F22" s="6">
        <v>16</v>
      </c>
    </row>
    <row r="23" spans="1:6" x14ac:dyDescent="0.3">
      <c r="A23" s="9">
        <v>19</v>
      </c>
      <c r="B23" s="6">
        <v>8</v>
      </c>
      <c r="D23" s="9" t="s">
        <v>25</v>
      </c>
      <c r="E23" s="7">
        <v>35.375343632458957</v>
      </c>
      <c r="F23" s="6">
        <v>13</v>
      </c>
    </row>
    <row r="24" spans="1:6" x14ac:dyDescent="0.3">
      <c r="A24" s="9">
        <v>20</v>
      </c>
      <c r="B24" s="6">
        <v>5</v>
      </c>
      <c r="D24" s="9" t="s">
        <v>46</v>
      </c>
      <c r="E24" s="7">
        <v>33.453871150792111</v>
      </c>
      <c r="F24" s="6">
        <v>7</v>
      </c>
    </row>
    <row r="25" spans="1:6" x14ac:dyDescent="0.3">
      <c r="A25" s="9">
        <v>21</v>
      </c>
      <c r="B25" s="6">
        <v>5</v>
      </c>
      <c r="D25" s="9" t="s">
        <v>9</v>
      </c>
      <c r="E25" s="7">
        <v>27.262369900771382</v>
      </c>
      <c r="F25" s="6">
        <v>14</v>
      </c>
    </row>
    <row r="26" spans="1:6" x14ac:dyDescent="0.3">
      <c r="A26" s="9">
        <v>22</v>
      </c>
      <c r="B26" s="6">
        <v>6</v>
      </c>
      <c r="D26" s="9" t="s">
        <v>333</v>
      </c>
      <c r="E26" s="7">
        <v>53.296613061105603</v>
      </c>
      <c r="F26" s="6">
        <v>150</v>
      </c>
    </row>
    <row r="27" spans="1:6" x14ac:dyDescent="0.3">
      <c r="A27" s="9">
        <v>23</v>
      </c>
      <c r="B27" s="6">
        <v>10</v>
      </c>
    </row>
    <row r="28" spans="1:6" x14ac:dyDescent="0.3">
      <c r="A28" s="9" t="s">
        <v>333</v>
      </c>
      <c r="B28" s="6">
        <v>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912C-420E-4926-A8E7-A28529A857B4}">
  <dimension ref="A1"/>
  <sheetViews>
    <sheetView showGridLines="0" workbookViewId="0">
      <selection activeCell="R5" sqref="R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C9662-4585-4D06-B469-56E96BD52B40}">
  <dimension ref="A1:L116"/>
  <sheetViews>
    <sheetView tabSelected="1" workbookViewId="0">
      <selection activeCell="C10" sqref="C10"/>
    </sheetView>
  </sheetViews>
  <sheetFormatPr defaultRowHeight="14.4" x14ac:dyDescent="0.3"/>
  <cols>
    <col min="1" max="1" width="97.88671875" bestFit="1" customWidth="1"/>
    <col min="2" max="3" width="11.5546875" bestFit="1" customWidth="1"/>
  </cols>
  <sheetData>
    <row r="1" spans="1:12" x14ac:dyDescent="0.3">
      <c r="A1" s="3" t="s">
        <v>15</v>
      </c>
      <c r="C1" t="s">
        <v>345</v>
      </c>
      <c r="D1">
        <f>COUNTIF(A1:A51,"*Application X*")</f>
        <v>51</v>
      </c>
    </row>
    <row r="2" spans="1:12" x14ac:dyDescent="0.3">
      <c r="A2" s="4" t="s">
        <v>26</v>
      </c>
      <c r="C2" t="s">
        <v>346</v>
      </c>
      <c r="D2">
        <f>COUNTIF(A53:A75,"*Wi-Fi*")</f>
        <v>23</v>
      </c>
    </row>
    <row r="3" spans="1:12" x14ac:dyDescent="0.3">
      <c r="A3" s="3" t="s">
        <v>28</v>
      </c>
      <c r="C3" t="s">
        <v>347</v>
      </c>
      <c r="D3">
        <f>COUNTIF(A77:A91,"*Password*")</f>
        <v>15</v>
      </c>
    </row>
    <row r="4" spans="1:12" x14ac:dyDescent="0.3">
      <c r="A4" s="4" t="s">
        <v>36</v>
      </c>
      <c r="C4" t="s">
        <v>348</v>
      </c>
      <c r="D4">
        <f>COUNTIF(A93:A116,"*Laptop*")</f>
        <v>24</v>
      </c>
    </row>
    <row r="5" spans="1:12" x14ac:dyDescent="0.3">
      <c r="A5" s="3" t="s">
        <v>40</v>
      </c>
    </row>
    <row r="6" spans="1:12" x14ac:dyDescent="0.3">
      <c r="A6" s="4" t="s">
        <v>43</v>
      </c>
      <c r="C6" s="10" t="s">
        <v>349</v>
      </c>
      <c r="D6" s="10"/>
      <c r="E6" s="10"/>
      <c r="F6" s="10"/>
      <c r="G6" s="10"/>
      <c r="H6" s="10"/>
      <c r="I6" s="10"/>
      <c r="J6" s="10"/>
      <c r="K6" s="10"/>
      <c r="L6" s="10"/>
    </row>
    <row r="7" spans="1:12" x14ac:dyDescent="0.3">
      <c r="A7" s="3" t="s">
        <v>51</v>
      </c>
      <c r="C7" s="10" t="s">
        <v>350</v>
      </c>
      <c r="D7" s="10"/>
      <c r="E7" s="10"/>
      <c r="F7" s="10"/>
      <c r="G7" s="10"/>
      <c r="H7" s="10"/>
      <c r="I7" s="10"/>
      <c r="J7" s="10"/>
      <c r="K7" s="10"/>
    </row>
    <row r="8" spans="1:12" x14ac:dyDescent="0.3">
      <c r="A8" s="4" t="s">
        <v>53</v>
      </c>
      <c r="C8" s="10" t="s">
        <v>351</v>
      </c>
      <c r="D8" s="10"/>
      <c r="E8" s="10"/>
      <c r="F8" s="10"/>
      <c r="G8" s="10"/>
      <c r="H8" s="10"/>
    </row>
    <row r="9" spans="1:12" x14ac:dyDescent="0.3">
      <c r="A9" s="3" t="s">
        <v>56</v>
      </c>
      <c r="C9" t="s">
        <v>352</v>
      </c>
    </row>
    <row r="10" spans="1:12" x14ac:dyDescent="0.3">
      <c r="A10" s="4" t="s">
        <v>58</v>
      </c>
    </row>
    <row r="11" spans="1:12" x14ac:dyDescent="0.3">
      <c r="A11" s="3" t="s">
        <v>67</v>
      </c>
    </row>
    <row r="12" spans="1:12" x14ac:dyDescent="0.3">
      <c r="A12" s="4" t="s">
        <v>69</v>
      </c>
    </row>
    <row r="13" spans="1:12" x14ac:dyDescent="0.3">
      <c r="A13" s="3" t="s">
        <v>71</v>
      </c>
    </row>
    <row r="14" spans="1:12" x14ac:dyDescent="0.3">
      <c r="A14" s="4" t="s">
        <v>73</v>
      </c>
    </row>
    <row r="15" spans="1:12" x14ac:dyDescent="0.3">
      <c r="A15" s="3" t="s">
        <v>77</v>
      </c>
    </row>
    <row r="16" spans="1:12" x14ac:dyDescent="0.3">
      <c r="A16" s="4" t="s">
        <v>86</v>
      </c>
    </row>
    <row r="17" spans="1:1" x14ac:dyDescent="0.3">
      <c r="A17" s="3" t="s">
        <v>90</v>
      </c>
    </row>
    <row r="18" spans="1:1" x14ac:dyDescent="0.3">
      <c r="A18" s="4" t="s">
        <v>96</v>
      </c>
    </row>
    <row r="19" spans="1:1" x14ac:dyDescent="0.3">
      <c r="A19" s="3" t="s">
        <v>100</v>
      </c>
    </row>
    <row r="20" spans="1:1" x14ac:dyDescent="0.3">
      <c r="A20" s="4" t="s">
        <v>104</v>
      </c>
    </row>
    <row r="21" spans="1:1" x14ac:dyDescent="0.3">
      <c r="A21" s="3" t="s">
        <v>114</v>
      </c>
    </row>
    <row r="22" spans="1:1" x14ac:dyDescent="0.3">
      <c r="A22" s="4" t="s">
        <v>119</v>
      </c>
    </row>
    <row r="23" spans="1:1" x14ac:dyDescent="0.3">
      <c r="A23" s="3" t="s">
        <v>131</v>
      </c>
    </row>
    <row r="24" spans="1:1" x14ac:dyDescent="0.3">
      <c r="A24" s="4" t="s">
        <v>133</v>
      </c>
    </row>
    <row r="25" spans="1:1" x14ac:dyDescent="0.3">
      <c r="A25" s="3" t="s">
        <v>135</v>
      </c>
    </row>
    <row r="26" spans="1:1" x14ac:dyDescent="0.3">
      <c r="A26" s="4" t="s">
        <v>147</v>
      </c>
    </row>
    <row r="27" spans="1:1" x14ac:dyDescent="0.3">
      <c r="A27" s="3" t="s">
        <v>151</v>
      </c>
    </row>
    <row r="28" spans="1:1" x14ac:dyDescent="0.3">
      <c r="A28" s="4" t="s">
        <v>153</v>
      </c>
    </row>
    <row r="29" spans="1:1" x14ac:dyDescent="0.3">
      <c r="A29" s="3" t="s">
        <v>165</v>
      </c>
    </row>
    <row r="30" spans="1:1" x14ac:dyDescent="0.3">
      <c r="A30" s="4" t="s">
        <v>167</v>
      </c>
    </row>
    <row r="31" spans="1:1" x14ac:dyDescent="0.3">
      <c r="A31" s="3" t="s">
        <v>171</v>
      </c>
    </row>
    <row r="32" spans="1:1" x14ac:dyDescent="0.3">
      <c r="A32" s="4" t="s">
        <v>181</v>
      </c>
    </row>
    <row r="33" spans="1:1" x14ac:dyDescent="0.3">
      <c r="A33" s="3" t="s">
        <v>185</v>
      </c>
    </row>
    <row r="34" spans="1:1" x14ac:dyDescent="0.3">
      <c r="A34" s="4" t="s">
        <v>189</v>
      </c>
    </row>
    <row r="35" spans="1:1" x14ac:dyDescent="0.3">
      <c r="A35" s="3" t="s">
        <v>193</v>
      </c>
    </row>
    <row r="36" spans="1:1" x14ac:dyDescent="0.3">
      <c r="A36" s="4" t="s">
        <v>201</v>
      </c>
    </row>
    <row r="37" spans="1:1" x14ac:dyDescent="0.3">
      <c r="A37" s="3" t="s">
        <v>205</v>
      </c>
    </row>
    <row r="38" spans="1:1" x14ac:dyDescent="0.3">
      <c r="A38" s="4" t="s">
        <v>207</v>
      </c>
    </row>
    <row r="39" spans="1:1" x14ac:dyDescent="0.3">
      <c r="A39" s="3" t="s">
        <v>209</v>
      </c>
    </row>
    <row r="40" spans="1:1" x14ac:dyDescent="0.3">
      <c r="A40" s="4" t="s">
        <v>211</v>
      </c>
    </row>
    <row r="41" spans="1:1" x14ac:dyDescent="0.3">
      <c r="A41" s="3" t="s">
        <v>225</v>
      </c>
    </row>
    <row r="42" spans="1:1" x14ac:dyDescent="0.3">
      <c r="A42" s="4" t="s">
        <v>229</v>
      </c>
    </row>
    <row r="43" spans="1:1" x14ac:dyDescent="0.3">
      <c r="A43" s="3" t="s">
        <v>231</v>
      </c>
    </row>
    <row r="44" spans="1:1" x14ac:dyDescent="0.3">
      <c r="A44" s="4" t="s">
        <v>235</v>
      </c>
    </row>
    <row r="45" spans="1:1" x14ac:dyDescent="0.3">
      <c r="A45" s="3" t="s">
        <v>247</v>
      </c>
    </row>
    <row r="46" spans="1:1" x14ac:dyDescent="0.3">
      <c r="A46" s="4" t="s">
        <v>251</v>
      </c>
    </row>
    <row r="47" spans="1:1" x14ac:dyDescent="0.3">
      <c r="A47" s="3" t="s">
        <v>261</v>
      </c>
    </row>
    <row r="48" spans="1:1" x14ac:dyDescent="0.3">
      <c r="A48" s="4" t="s">
        <v>273</v>
      </c>
    </row>
    <row r="49" spans="1:1" x14ac:dyDescent="0.3">
      <c r="A49" s="3" t="s">
        <v>283</v>
      </c>
    </row>
    <row r="50" spans="1:1" x14ac:dyDescent="0.3">
      <c r="A50" s="4" t="s">
        <v>305</v>
      </c>
    </row>
    <row r="51" spans="1:1" x14ac:dyDescent="0.3">
      <c r="A51" s="3" t="s">
        <v>317</v>
      </c>
    </row>
    <row r="53" spans="1:1" x14ac:dyDescent="0.3">
      <c r="A53" s="3" t="s">
        <v>47</v>
      </c>
    </row>
    <row r="54" spans="1:1" x14ac:dyDescent="0.3">
      <c r="A54" s="4" t="s">
        <v>49</v>
      </c>
    </row>
    <row r="55" spans="1:1" x14ac:dyDescent="0.3">
      <c r="A55" s="3" t="s">
        <v>63</v>
      </c>
    </row>
    <row r="56" spans="1:1" x14ac:dyDescent="0.3">
      <c r="A56" s="4" t="s">
        <v>75</v>
      </c>
    </row>
    <row r="57" spans="1:1" x14ac:dyDescent="0.3">
      <c r="A57" s="3" t="s">
        <v>79</v>
      </c>
    </row>
    <row r="58" spans="1:1" x14ac:dyDescent="0.3">
      <c r="A58" s="4" t="s">
        <v>88</v>
      </c>
    </row>
    <row r="59" spans="1:1" x14ac:dyDescent="0.3">
      <c r="A59" s="3" t="s">
        <v>92</v>
      </c>
    </row>
    <row r="60" spans="1:1" x14ac:dyDescent="0.3">
      <c r="A60" s="4" t="s">
        <v>108</v>
      </c>
    </row>
    <row r="61" spans="1:1" x14ac:dyDescent="0.3">
      <c r="A61" s="3" t="s">
        <v>121</v>
      </c>
    </row>
    <row r="62" spans="1:1" x14ac:dyDescent="0.3">
      <c r="A62" s="4" t="s">
        <v>125</v>
      </c>
    </row>
    <row r="63" spans="1:1" x14ac:dyDescent="0.3">
      <c r="A63" s="3" t="s">
        <v>127</v>
      </c>
    </row>
    <row r="64" spans="1:1" x14ac:dyDescent="0.3">
      <c r="A64" s="4" t="s">
        <v>137</v>
      </c>
    </row>
    <row r="65" spans="1:1" x14ac:dyDescent="0.3">
      <c r="A65" s="3" t="s">
        <v>159</v>
      </c>
    </row>
    <row r="66" spans="1:1" x14ac:dyDescent="0.3">
      <c r="A66" s="4" t="s">
        <v>163</v>
      </c>
    </row>
    <row r="67" spans="1:1" x14ac:dyDescent="0.3">
      <c r="A67" s="3" t="s">
        <v>173</v>
      </c>
    </row>
    <row r="68" spans="1:1" x14ac:dyDescent="0.3">
      <c r="A68" s="4" t="s">
        <v>187</v>
      </c>
    </row>
    <row r="69" spans="1:1" x14ac:dyDescent="0.3">
      <c r="A69" s="3" t="s">
        <v>213</v>
      </c>
    </row>
    <row r="70" spans="1:1" x14ac:dyDescent="0.3">
      <c r="A70" s="4" t="s">
        <v>239</v>
      </c>
    </row>
    <row r="71" spans="1:1" x14ac:dyDescent="0.3">
      <c r="A71" s="3" t="s">
        <v>275</v>
      </c>
    </row>
    <row r="72" spans="1:1" x14ac:dyDescent="0.3">
      <c r="A72" s="4" t="s">
        <v>285</v>
      </c>
    </row>
    <row r="73" spans="1:1" x14ac:dyDescent="0.3">
      <c r="A73" s="3" t="s">
        <v>307</v>
      </c>
    </row>
    <row r="74" spans="1:1" x14ac:dyDescent="0.3">
      <c r="A74" s="4" t="s">
        <v>313</v>
      </c>
    </row>
    <row r="75" spans="1:1" x14ac:dyDescent="0.3">
      <c r="A75" s="3" t="s">
        <v>321</v>
      </c>
    </row>
    <row r="77" spans="1:1" x14ac:dyDescent="0.3">
      <c r="A77" s="3" t="s">
        <v>33</v>
      </c>
    </row>
    <row r="78" spans="1:1" x14ac:dyDescent="0.3">
      <c r="A78" s="4" t="s">
        <v>106</v>
      </c>
    </row>
    <row r="79" spans="1:1" x14ac:dyDescent="0.3">
      <c r="A79" s="3" t="s">
        <v>123</v>
      </c>
    </row>
    <row r="80" spans="1:1" x14ac:dyDescent="0.3">
      <c r="A80" s="4" t="s">
        <v>139</v>
      </c>
    </row>
    <row r="81" spans="1:1" x14ac:dyDescent="0.3">
      <c r="A81" s="3" t="s">
        <v>155</v>
      </c>
    </row>
    <row r="82" spans="1:1" x14ac:dyDescent="0.3">
      <c r="A82" s="4" t="s">
        <v>157</v>
      </c>
    </row>
    <row r="83" spans="1:1" x14ac:dyDescent="0.3">
      <c r="A83" s="3" t="s">
        <v>191</v>
      </c>
    </row>
    <row r="84" spans="1:1" x14ac:dyDescent="0.3">
      <c r="A84" s="4" t="s">
        <v>199</v>
      </c>
    </row>
    <row r="85" spans="1:1" x14ac:dyDescent="0.3">
      <c r="A85" s="3" t="s">
        <v>217</v>
      </c>
    </row>
    <row r="86" spans="1:1" x14ac:dyDescent="0.3">
      <c r="A86" s="4" t="s">
        <v>221</v>
      </c>
    </row>
    <row r="87" spans="1:1" x14ac:dyDescent="0.3">
      <c r="A87" s="3" t="s">
        <v>249</v>
      </c>
    </row>
    <row r="88" spans="1:1" x14ac:dyDescent="0.3">
      <c r="A88" s="4" t="s">
        <v>259</v>
      </c>
    </row>
    <row r="89" spans="1:1" x14ac:dyDescent="0.3">
      <c r="A89" s="3" t="s">
        <v>263</v>
      </c>
    </row>
    <row r="90" spans="1:1" x14ac:dyDescent="0.3">
      <c r="A90" s="4" t="s">
        <v>271</v>
      </c>
    </row>
    <row r="91" spans="1:1" x14ac:dyDescent="0.3">
      <c r="A91" s="3" t="s">
        <v>295</v>
      </c>
    </row>
    <row r="93" spans="1:1" x14ac:dyDescent="0.3">
      <c r="A93" s="3" t="s">
        <v>23</v>
      </c>
    </row>
    <row r="94" spans="1:1" x14ac:dyDescent="0.3">
      <c r="A94" s="4" t="s">
        <v>38</v>
      </c>
    </row>
    <row r="95" spans="1:1" x14ac:dyDescent="0.3">
      <c r="A95" s="3" t="s">
        <v>65</v>
      </c>
    </row>
    <row r="96" spans="1:1" x14ac:dyDescent="0.3">
      <c r="A96" s="4" t="s">
        <v>98</v>
      </c>
    </row>
    <row r="97" spans="1:1" x14ac:dyDescent="0.3">
      <c r="A97" s="3" t="s">
        <v>110</v>
      </c>
    </row>
    <row r="98" spans="1:1" x14ac:dyDescent="0.3">
      <c r="A98" s="4" t="s">
        <v>117</v>
      </c>
    </row>
    <row r="99" spans="1:1" x14ac:dyDescent="0.3">
      <c r="A99" s="3" t="s">
        <v>149</v>
      </c>
    </row>
    <row r="100" spans="1:1" x14ac:dyDescent="0.3">
      <c r="A100" s="4" t="s">
        <v>161</v>
      </c>
    </row>
    <row r="101" spans="1:1" x14ac:dyDescent="0.3">
      <c r="A101" s="3" t="s">
        <v>169</v>
      </c>
    </row>
    <row r="102" spans="1:1" x14ac:dyDescent="0.3">
      <c r="A102" s="4" t="s">
        <v>197</v>
      </c>
    </row>
    <row r="103" spans="1:1" x14ac:dyDescent="0.3">
      <c r="A103" s="3" t="s">
        <v>203</v>
      </c>
    </row>
    <row r="104" spans="1:1" x14ac:dyDescent="0.3">
      <c r="A104" s="4" t="s">
        <v>223</v>
      </c>
    </row>
    <row r="105" spans="1:1" x14ac:dyDescent="0.3">
      <c r="A105" s="3" t="s">
        <v>227</v>
      </c>
    </row>
    <row r="106" spans="1:1" x14ac:dyDescent="0.3">
      <c r="A106" s="4" t="s">
        <v>243</v>
      </c>
    </row>
    <row r="107" spans="1:1" x14ac:dyDescent="0.3">
      <c r="A107" s="3" t="s">
        <v>245</v>
      </c>
    </row>
    <row r="108" spans="1:1" x14ac:dyDescent="0.3">
      <c r="A108" s="4" t="s">
        <v>255</v>
      </c>
    </row>
    <row r="109" spans="1:1" x14ac:dyDescent="0.3">
      <c r="A109" s="3" t="s">
        <v>267</v>
      </c>
    </row>
    <row r="110" spans="1:1" x14ac:dyDescent="0.3">
      <c r="A110" s="4" t="s">
        <v>281</v>
      </c>
    </row>
    <row r="111" spans="1:1" x14ac:dyDescent="0.3">
      <c r="A111" s="3" t="s">
        <v>301</v>
      </c>
    </row>
    <row r="112" spans="1:1" x14ac:dyDescent="0.3">
      <c r="A112" s="4" t="s">
        <v>303</v>
      </c>
    </row>
    <row r="113" spans="1:1" x14ac:dyDescent="0.3">
      <c r="A113" s="3" t="s">
        <v>309</v>
      </c>
    </row>
    <row r="114" spans="1:1" x14ac:dyDescent="0.3">
      <c r="A114" s="4" t="s">
        <v>311</v>
      </c>
    </row>
    <row r="115" spans="1:1" x14ac:dyDescent="0.3">
      <c r="A115" s="3" t="s">
        <v>315</v>
      </c>
    </row>
    <row r="116" spans="1:1" x14ac:dyDescent="0.3">
      <c r="A116" s="4" t="s">
        <v>327</v>
      </c>
    </row>
  </sheetData>
  <mergeCells count="3">
    <mergeCell ref="C6:L6"/>
    <mergeCell ref="C7:K7"/>
    <mergeCell ref="C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help_desk_tickets Raw Data</vt:lpstr>
      <vt:lpstr>Cleaned Data</vt:lpstr>
      <vt:lpstr>Pivot Tables</vt:lpstr>
      <vt:lpstr>Dashboard</vt:lpstr>
      <vt:lpstr>Top Problems &amp; root causes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sathish reddy</cp:lastModifiedBy>
  <dcterms:created xsi:type="dcterms:W3CDTF">2026-03-20T06:04:58Z</dcterms:created>
  <dcterms:modified xsi:type="dcterms:W3CDTF">2026-03-20T17:47:02Z</dcterms:modified>
</cp:coreProperties>
</file>