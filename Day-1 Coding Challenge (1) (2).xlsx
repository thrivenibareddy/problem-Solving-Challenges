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chinn\OneDrive\Downloads\"/>
    </mc:Choice>
  </mc:AlternateContent>
  <xr:revisionPtr revIDLastSave="0" documentId="13_ncr:1_{213697E7-76AA-4309-8300-EE2D32B9B47B}" xr6:coauthVersionLast="47" xr6:coauthVersionMax="47" xr10:uidLastSave="{00000000-0000-0000-0000-000000000000}"/>
  <bookViews>
    <workbookView xWindow="-113" yWindow="-113" windowWidth="24267" windowHeight="13023" activeTab="2" xr2:uid="{59668A58-6C71-4546-BD41-603B00D01A74}"/>
  </bookViews>
  <sheets>
    <sheet name="Table1" sheetId="5" r:id="rId1"/>
    <sheet name="Analysis" sheetId="3" r:id="rId2"/>
    <sheet name="Dashboard" sheetId="7" r:id="rId3"/>
  </sheets>
  <definedNames>
    <definedName name="ExternalData_1" localSheetId="0" hidden="1">Table1!$A$1:$H$201</definedName>
    <definedName name="Slicer_Category">#N/A</definedName>
    <definedName name="Slicer_Product1">#N/A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3" l="1"/>
  <c r="B7" i="3"/>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57F97A-C8AF-4D4F-BEC7-2DB1B8BCD78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7B466BF-420E-4247-9F85-926353543F25}"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<sst xmlns="http://schemas.openxmlformats.org/spreadsheetml/2006/main" count="863" uniqueCount="230">
  <si>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</si>
  <si>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</si>
  <si>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</si>
  <si>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</si>
  <si>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</si>
  <si>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</si>
  <si>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</si>
  <si>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</si>
  <si>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</si>
  <si>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</si>
  <si>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</si>
  <si>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</si>
  <si>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</si>
  <si>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</si>
  <si>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</si>
  <si>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</si>
  <si>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</si>
  <si>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</si>
  <si>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</si>
  <si>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</si>
  <si>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</si>
  <si>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</si>
  <si>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</si>
  <si>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</si>
  <si>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</si>
  <si>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</si>
  <si>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</si>
  <si>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</si>
  <si>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</si>
  <si>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</si>
  <si>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</si>
  <si>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</si>
  <si>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</si>
  <si>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</si>
  <si>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</si>
  <si>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</si>
  <si>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</si>
  <si>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</si>
  <si>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</si>
  <si>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</si>
  <si>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</si>
  <si>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</si>
  <si>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</si>
  <si>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</si>
  <si>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</si>
  <si>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</si>
  <si>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</si>
  <si>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</si>
  <si>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</si>
  <si>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</si>
  <si>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</si>
  <si>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</si>
  <si>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</si>
  <si>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</si>
  <si>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</si>
  <si>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</si>
  <si>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</si>
  <si>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</si>
  <si>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</si>
  <si>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</si>
  <si>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</si>
  <si>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</si>
  <si>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</si>
  <si>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</si>
  <si>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</si>
  <si>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</si>
  <si>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</si>
  <si>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</si>
  <si>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</si>
  <si>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</si>
  <si>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</si>
  <si>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</si>
  <si>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</si>
  <si>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</si>
  <si>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</si>
  <si>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</si>
  <si>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</si>
  <si>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</si>
  <si>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</si>
  <si>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</si>
  <si>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</si>
  <si>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</si>
  <si>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</si>
  <si>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</si>
  <si>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</si>
  <si>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</si>
  <si>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</si>
  <si>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</si>
  <si>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</si>
  <si>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</si>
  <si>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</si>
  <si>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</si>
  <si>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</si>
  <si>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</si>
  <si>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</si>
  <si>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</si>
  <si>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</si>
  <si>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</si>
  <si>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</si>
  <si>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</si>
  <si>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</si>
  <si>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</si>
  <si>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</si>
  <si>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</si>
  <si>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</si>
  <si>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</si>
  <si>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</si>
  <si>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</si>
  <si>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</si>
  <si>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</si>
  <si>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</si>
  <si>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</si>
  <si>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</si>
  <si>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</si>
  <si>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</si>
  <si>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</si>
  <si>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</si>
  <si>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</si>
  <si>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</si>
  <si>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</si>
  <si>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</si>
  <si>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</si>
  <si>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</si>
  <si>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</si>
  <si>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</si>
  <si>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</si>
  <si>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</si>
  <si>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</si>
  <si>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</si>
  <si>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</si>
  <si>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</si>
  <si>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</si>
  <si>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</si>
  <si>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</si>
  <si>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</si>
  <si>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</si>
  <si>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</si>
  <si>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</si>
  <si>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</si>
  <si>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</si>
  <si>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</si>
  <si>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</si>
  <si>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</si>
  <si>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</si>
  <si>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</si>
  <si>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</si>
  <si>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</si>
  <si>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</si>
  <si>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</si>
  <si>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</si>
  <si>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</si>
  <si>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</si>
  <si>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</si>
  <si>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</si>
  <si>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</si>
  <si>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</si>
  <si>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</si>
  <si>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</si>
  <si>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</si>
  <si>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</si>
  <si>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</si>
  <si>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</si>
  <si>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</si>
  <si>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</si>
  <si>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</si>
  <si>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</si>
  <si>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</si>
  <si>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</si>
  <si>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</si>
  <si>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</si>
  <si>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</si>
  <si>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</si>
  <si>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</si>
  <si>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</si>
  <si>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</si>
  <si>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</si>
  <si>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</si>
  <si>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</si>
  <si>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</si>
  <si>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</si>
  <si>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</si>
  <si>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</si>
  <si>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</si>
  <si>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</si>
  <si>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</si>
  <si>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</si>
  <si>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</si>
  <si>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</si>
  <si>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</si>
  <si>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</si>
  <si>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</si>
  <si>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</si>
  <si>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</si>
  <si>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</si>
  <si>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</si>
  <si>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</si>
  <si>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</si>
  <si>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</si>
  <si>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</si>
  <si>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</si>
  <si>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</si>
  <si>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</si>
  <si>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</si>
  <si>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</si>
  <si>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</si>
  <si>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</si>
  <si>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</si>
  <si>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</si>
  <si>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</si>
  <si>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</si>
  <si>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</si>
  <si>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</si>
  <si>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</si>
  <si>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</si>
  <si>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</si>
  <si>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</si>
  <si>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</si>
  <si>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</si>
  <si>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</si>
  <si>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</si>
  <si>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</si>
  <si>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</si>
  <si>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Sum of Total Revenue</t>
  </si>
  <si>
    <t>Row Labels</t>
  </si>
  <si>
    <t>Grand Total</t>
  </si>
  <si>
    <t>Jan</t>
  </si>
  <si>
    <t>Feb</t>
  </si>
  <si>
    <t>Mar</t>
  </si>
  <si>
    <t>Count of Order_ID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</si>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</sst>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yyyy\-mm\-dd\ 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44" fontId="0" fillId="0" borderId="0" xfId="1" applyFont="1"/>
    <xf numFmtId="0" fontId="0" fillId="0" borderId="0" xfId="0" applyNumberFormat="1"/>
  </cellXfs>
  <cellStyles count="2">
    <cellStyle name="Currency" xfId="1" builtinId="4"/>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1" defaultTableStyle="TableStyleMedium2" defaultPivotStyle="PivotStyleLight16">
    <tableStyle name="Invisible" pivot="0" table="0" count="0" xr9:uid="{9A166640-C8B6-4844-85A7-71B92BD2DA5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microsoft.com/office/2017/06/relationships/rdRichValueStructure" Target="richData/rdrichvaluestructure.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c:f>
              <c:strCache>
                <c:ptCount val="1"/>
                <c:pt idx="0">
                  <c:v>Total</c:v>
                </c:pt>
              </c:strCache>
            </c:strRef>
          </c:tx>
          <c:spPr>
            <a:solidFill>
              <a:schemeClr val="accent1"/>
            </a:solidFill>
            <a:ln>
              <a:noFill/>
            </a:ln>
            <a:effectLst/>
          </c:spPr>
          <c:invertIfNegative val="0"/>
          <c:cat>
            <c:strRef>
              <c:f>Analysis!$J$4:$J$8</c:f>
              <c:strCache>
                <c:ptCount val="4"/>
                <c:pt idx="0">
                  <c:v>East</c:v>
                </c:pt>
                <c:pt idx="1">
                  <c:v>North</c:v>
                </c:pt>
                <c:pt idx="2">
                  <c:v>South</c:v>
                </c:pt>
                <c:pt idx="3">
                  <c:v>West</c:v>
                </c:pt>
              </c:strCache>
            </c:strRef>
          </c:cat>
          <c:val>
            <c:numRef>
              <c:f>Analysis!$K$4:$K$8</c:f>
              <c:numCache>
                <c:formatCode>General</c:formatCode>
                <c:ptCount val="4"/>
                <c:pt idx="0">
                  <c:v>116463</c:v>
                </c:pt>
                <c:pt idx="1">
                  <c:v>104808</c:v>
                </c:pt>
                <c:pt idx="2">
                  <c:v>108472</c:v>
                </c:pt>
                <c:pt idx="3">
                  <c:v>117043</c:v>
                </c:pt>
              </c:numCache>
            </c:numRef>
          </c:val>
          <c:extLst>
            <c:ext xmlns:c16="http://schemas.microsoft.com/office/drawing/2014/chart" uri="{C3380CC4-5D6E-409C-BE32-E72D297353CC}">
              <c16:uniqueId val="{00000000-D51F-45FA-A300-D36DD863398F}"/>
            </c:ext>
          </c:extLst>
        </c:ser>
        <c:dLbls>
          <c:showLegendKey val="0"/>
          <c:showVal val="0"/>
          <c:showCatName val="0"/>
          <c:showSerName val="0"/>
          <c:showPercent val="0"/>
          <c:showBubbleSize val="0"/>
        </c:dLbls>
        <c:gapWidth val="219"/>
        <c:overlap val="-27"/>
        <c:axId val="794598431"/>
        <c:axId val="794598911"/>
      </c:barChart>
      <c:catAx>
        <c:axId val="79459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98911"/>
        <c:crosses val="autoZero"/>
        <c:auto val="1"/>
        <c:lblAlgn val="ctr"/>
        <c:lblOffset val="100"/>
        <c:noMultiLvlLbl val="0"/>
      </c:catAx>
      <c:valAx>
        <c:axId val="79459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9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BB-48D9-9A59-81656C267C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BB-48D9-9A59-81656C267C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BB-48D9-9A59-81656C267C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BB-48D9-9A59-81656C267C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BB-48D9-9A59-81656C267C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DBB-48D9-9A59-81656C267C1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DBB-48D9-9A59-81656C267C1D}"/>
              </c:ext>
            </c:extLst>
          </c:dPt>
          <c:cat>
            <c:strRef>
              <c:f>Analysis!$P$4:$P$11</c:f>
              <c:strCache>
                <c:ptCount val="7"/>
                <c:pt idx="0">
                  <c:v>Desk Chair</c:v>
                </c:pt>
                <c:pt idx="1">
                  <c:v>Keyboard</c:v>
                </c:pt>
                <c:pt idx="2">
                  <c:v>Laptop</c:v>
                </c:pt>
                <c:pt idx="3">
                  <c:v>Monitor</c:v>
                </c:pt>
                <c:pt idx="4">
                  <c:v>Mouse</c:v>
                </c:pt>
                <c:pt idx="5">
                  <c:v>Notebook</c:v>
                </c:pt>
                <c:pt idx="6">
                  <c:v>Pen Pack</c:v>
                </c:pt>
              </c:strCache>
            </c:strRef>
          </c:cat>
          <c:val>
            <c:numRef>
              <c:f>Analysis!$Q$4:$Q$11</c:f>
              <c:numCache>
                <c:formatCode>General</c:formatCode>
                <c:ptCount val="7"/>
                <c:pt idx="0">
                  <c:v>90635</c:v>
                </c:pt>
                <c:pt idx="1">
                  <c:v>64187</c:v>
                </c:pt>
                <c:pt idx="2">
                  <c:v>53108</c:v>
                </c:pt>
                <c:pt idx="3">
                  <c:v>43717</c:v>
                </c:pt>
                <c:pt idx="4">
                  <c:v>66018</c:v>
                </c:pt>
                <c:pt idx="5">
                  <c:v>78975</c:v>
                </c:pt>
                <c:pt idx="6">
                  <c:v>50146</c:v>
                </c:pt>
              </c:numCache>
            </c:numRef>
          </c:val>
          <c:extLst>
            <c:ext xmlns:c16="http://schemas.microsoft.com/office/drawing/2014/chart" uri="{C3380CC4-5D6E-409C-BE32-E72D297353CC}">
              <c16:uniqueId val="{0000000E-8DBB-48D9-9A59-81656C267C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Analysis!$T$3</c:f>
              <c:strCache>
                <c:ptCount val="1"/>
                <c:pt idx="0">
                  <c:v>Total</c:v>
                </c:pt>
              </c:strCache>
            </c:strRef>
          </c:tx>
          <c:spPr>
            <a:solidFill>
              <a:schemeClr val="accent1"/>
            </a:solidFill>
            <a:ln>
              <a:noFill/>
            </a:ln>
            <a:effectLst/>
          </c:spPr>
          <c:invertIfNegative val="0"/>
          <c:cat>
            <c:strRef>
              <c:f>Analysis!$S$4:$S$7</c:f>
              <c:strCache>
                <c:ptCount val="3"/>
                <c:pt idx="0">
                  <c:v>Jan</c:v>
                </c:pt>
                <c:pt idx="1">
                  <c:v>Feb</c:v>
                </c:pt>
                <c:pt idx="2">
                  <c:v>Mar</c:v>
                </c:pt>
              </c:strCache>
            </c:strRef>
          </c:cat>
          <c:val>
            <c:numRef>
              <c:f>Analysis!$T$4:$T$7</c:f>
              <c:numCache>
                <c:formatCode>General</c:formatCode>
                <c:ptCount val="3"/>
                <c:pt idx="0">
                  <c:v>192567</c:v>
                </c:pt>
                <c:pt idx="1">
                  <c:v>242954</c:v>
                </c:pt>
                <c:pt idx="2">
                  <c:v>11265</c:v>
                </c:pt>
              </c:numCache>
            </c:numRef>
          </c:val>
          <c:extLst>
            <c:ext xmlns:c16="http://schemas.microsoft.com/office/drawing/2014/chart" uri="{C3380CC4-5D6E-409C-BE32-E72D297353CC}">
              <c16:uniqueId val="{00000000-3831-43E8-BAC4-1242832671B7}"/>
            </c:ext>
          </c:extLst>
        </c:ser>
        <c:dLbls>
          <c:showLegendKey val="0"/>
          <c:showVal val="0"/>
          <c:showCatName val="0"/>
          <c:showSerName val="0"/>
          <c:showPercent val="0"/>
          <c:showBubbleSize val="0"/>
        </c:dLbls>
        <c:gapWidth val="182"/>
        <c:axId val="930645711"/>
        <c:axId val="930666831"/>
      </c:barChart>
      <c:catAx>
        <c:axId val="93064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6831"/>
        <c:crosses val="autoZero"/>
        <c:auto val="1"/>
        <c:lblAlgn val="ctr"/>
        <c:lblOffset val="100"/>
        <c:noMultiLvlLbl val="0"/>
      </c:catAx>
      <c:valAx>
        <c:axId val="930666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4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 Coding Challenge (1).xlsx]Analysis!PivotTable5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Analysis!$R$14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16-4470-BCFC-603639DE65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16-4470-BCFC-603639DE65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16-4470-BCFC-603639DE6589}"/>
              </c:ext>
            </c:extLst>
          </c:dPt>
          <c:cat>
            <c:strRef>
              <c:f>Analysis!$Q$15:$Q$18</c:f>
              <c:strCache>
                <c:ptCount val="3"/>
                <c:pt idx="0">
                  <c:v>Electronics</c:v>
                </c:pt>
                <c:pt idx="1">
                  <c:v>Furniture</c:v>
                </c:pt>
                <c:pt idx="2">
                  <c:v>Stationery</c:v>
                </c:pt>
              </c:strCache>
            </c:strRef>
          </c:cat>
          <c:val>
            <c:numRef>
              <c:f>Analysis!$R$15:$R$18</c:f>
              <c:numCache>
                <c:formatCode>General</c:formatCode>
                <c:ptCount val="3"/>
                <c:pt idx="0">
                  <c:v>227030</c:v>
                </c:pt>
                <c:pt idx="1">
                  <c:v>90635</c:v>
                </c:pt>
                <c:pt idx="2">
                  <c:v>129121</c:v>
                </c:pt>
              </c:numCache>
            </c:numRef>
          </c:val>
          <c:extLst>
            <c:ext xmlns:c16="http://schemas.microsoft.com/office/drawing/2014/chart" uri="{C3380CC4-5D6E-409C-BE32-E72D297353CC}">
              <c16:uniqueId val="{00000006-A516-4470-BCFC-603639DE65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185124</xdr:colOff>
      <xdr:row>18</xdr:row>
      <xdr:rowOff>-1</xdr:rowOff>
    </xdr:from>
    <xdr:to>
      <xdr:col>2</xdr:col>
      <xdr:colOff>340770</xdr:colOff>
      <xdr:row>24</xdr:row>
      <xdr:rowOff>138827</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E00D3767-0BAA-4EA4-9691-A928F444A68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5124" y="3331028"/>
              <a:ext cx="1491276" cy="1249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185056</xdr:colOff>
      <xdr:row>25</xdr:row>
      <xdr:rowOff>55279</xdr:rowOff>
    </xdr:from>
    <xdr:to>
      <xdr:col>2</xdr:col>
      <xdr:colOff>420283</xdr:colOff>
      <xdr:row>32</xdr:row>
      <xdr:rowOff>2302</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D2C06FFC-8731-40F8-AC03-6089848B48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5056" y="4681708"/>
              <a:ext cx="1496233" cy="1242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217542</xdr:colOff>
      <xdr:row>4</xdr:row>
      <xdr:rowOff>25343</xdr:rowOff>
    </xdr:from>
    <xdr:to>
      <xdr:col>2</xdr:col>
      <xdr:colOff>359228</xdr:colOff>
      <xdr:row>17</xdr:row>
      <xdr:rowOff>21772</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BEBAC6EE-7003-4AC3-8EE5-2CB80ED001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7542" y="765572"/>
              <a:ext cx="1360886" cy="2402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499567</xdr:colOff>
      <xdr:row>8</xdr:row>
      <xdr:rowOff>72284</xdr:rowOff>
    </xdr:from>
    <xdr:to>
      <xdr:col>9</xdr:col>
      <xdr:colOff>618837</xdr:colOff>
      <xdr:row>20</xdr:row>
      <xdr:rowOff>64655</xdr:rowOff>
    </xdr:to>
    <xdr:graphicFrame macro="">
      <xdr:nvGraphicFramePr>
        <xdr:cNvPr id="2" name="Chart 1">
          <a:extLst>
            <a:ext uri="{FF2B5EF4-FFF2-40B4-BE49-F238E27FC236}">
              <a16:creationId xmlns:a16="http://schemas.microsoft.com/office/drawing/2014/main" id="{00F35B7E-6DD0-4BB7-9291-8F7546F2F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81120</xdr:colOff>
      <xdr:row>8</xdr:row>
      <xdr:rowOff>57827</xdr:rowOff>
    </xdr:from>
    <xdr:to>
      <xdr:col>16</xdr:col>
      <xdr:colOff>448165</xdr:colOff>
      <xdr:row>20</xdr:row>
      <xdr:rowOff>94772</xdr:rowOff>
    </xdr:to>
    <xdr:graphicFrame macro="">
      <xdr:nvGraphicFramePr>
        <xdr:cNvPr id="7" name="Chart 6">
          <a:extLst>
            <a:ext uri="{FF2B5EF4-FFF2-40B4-BE49-F238E27FC236}">
              <a16:creationId xmlns:a16="http://schemas.microsoft.com/office/drawing/2014/main" id="{2F7E8609-EEC8-480E-9B69-3DCEDAF48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88348</xdr:colOff>
      <xdr:row>0</xdr:row>
      <xdr:rowOff>8836</xdr:rowOff>
    </xdr:from>
    <xdr:to>
      <xdr:col>16</xdr:col>
      <xdr:colOff>494747</xdr:colOff>
      <xdr:row>33</xdr:row>
      <xdr:rowOff>72284</xdr:rowOff>
    </xdr:to>
    <xdr:sp macro="" textlink="">
      <xdr:nvSpPr>
        <xdr:cNvPr id="8" name="Rectangle: Rounded Corners 7">
          <a:extLst>
            <a:ext uri="{FF2B5EF4-FFF2-40B4-BE49-F238E27FC236}">
              <a16:creationId xmlns:a16="http://schemas.microsoft.com/office/drawing/2014/main" id="{07D58CDA-616E-37C2-5710-F3ABCFABF659}"/>
            </a:ext>
          </a:extLst>
        </xdr:cNvPr>
        <xdr:cNvSpPr/>
      </xdr:nvSpPr>
      <xdr:spPr>
        <a:xfrm>
          <a:off x="88348" y="8836"/>
          <a:ext cx="10584068" cy="6265466"/>
        </a:xfrm>
        <a:prstGeom prst="roundRect">
          <a:avLst>
            <a:gd name="adj" fmla="val 292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514023</xdr:colOff>
      <xdr:row>21</xdr:row>
      <xdr:rowOff>3212</xdr:rowOff>
    </xdr:from>
    <xdr:to>
      <xdr:col>9</xdr:col>
      <xdr:colOff>611206</xdr:colOff>
      <xdr:row>33</xdr:row>
      <xdr:rowOff>20881</xdr:rowOff>
    </xdr:to>
    <xdr:graphicFrame macro="">
      <xdr:nvGraphicFramePr>
        <xdr:cNvPr id="9" name="Chart 8">
          <a:extLst>
            <a:ext uri="{FF2B5EF4-FFF2-40B4-BE49-F238E27FC236}">
              <a16:creationId xmlns:a16="http://schemas.microsoft.com/office/drawing/2014/main" id="{F672CFC0-7E23-46A9-B58C-D50024F0B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202398</xdr:colOff>
      <xdr:row>0</xdr:row>
      <xdr:rowOff>114852</xdr:rowOff>
    </xdr:from>
    <xdr:to>
      <xdr:col>16</xdr:col>
      <xdr:colOff>344557</xdr:colOff>
      <xdr:row>3</xdr:row>
      <xdr:rowOff>97182</xdr:rowOff>
    </xdr:to>
    <xdr:sp macro="" textlink="">
      <xdr:nvSpPr>
        <xdr:cNvPr id="11" name="TextBox 10">
          <a:extLst>
            <a:ext uri="{FF2B5EF4-FFF2-40B4-BE49-F238E27FC236}">
              <a16:creationId xmlns:a16="http://schemas.microsoft.com/office/drawing/2014/main" id="{CEDDF1CF-188B-CF79-8DE8-76F6EE8D7781}"/>
            </a:ext>
          </a:extLst>
        </xdr:cNvPr>
        <xdr:cNvSpPr txBox="1"/>
      </xdr:nvSpPr>
      <xdr:spPr>
        <a:xfrm>
          <a:off x="202398" y="114852"/>
          <a:ext cx="10319828" cy="546150"/>
        </a:xfrm>
        <a:prstGeom prst="rect">
          <a:avLst/>
        </a:prstGeom>
        <a:solidFill>
          <a:schemeClr val="lt1"/>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t>Regional Sales Performance Dashboard</a:t>
          </a:r>
        </a:p>
      </xdr:txBody>
    </xdr:sp>
    <xdr:clientData/>
  </xdr:twoCellAnchor>
  <xdr:twoCellAnchor>
    <xdr:from>
      <xdr:col>10</xdr:col>
      <xdr:colOff>78709</xdr:colOff>
      <xdr:row>20</xdr:row>
      <xdr:rowOff>165452</xdr:rowOff>
    </xdr:from>
    <xdr:to>
      <xdr:col>16</xdr:col>
      <xdr:colOff>375879</xdr:colOff>
      <xdr:row>32</xdr:row>
      <xdr:rowOff>156616</xdr:rowOff>
    </xdr:to>
    <xdr:graphicFrame macro="">
      <xdr:nvGraphicFramePr>
        <xdr:cNvPr id="12" name="Chart 11">
          <a:extLst>
            <a:ext uri="{FF2B5EF4-FFF2-40B4-BE49-F238E27FC236}">
              <a16:creationId xmlns:a16="http://schemas.microsoft.com/office/drawing/2014/main" id="{2F62EF01-BE4F-41D0-843D-E031E28C3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0</xdr:row>
      <xdr:rowOff>144569</xdr:rowOff>
    </xdr:from>
    <xdr:to>
      <xdr:col>2</xdr:col>
      <xdr:colOff>278295</xdr:colOff>
      <xdr:row>3</xdr:row>
      <xdr:rowOff>86741</xdr:rowOff>
    </xdr:to>
    <xdr:pic>
      <xdr:nvPicPr>
        <xdr:cNvPr id="14" name="Graphic 13" descr="Bar chart with solid fill">
          <a:extLst>
            <a:ext uri="{FF2B5EF4-FFF2-40B4-BE49-F238E27FC236}">
              <a16:creationId xmlns:a16="http://schemas.microsoft.com/office/drawing/2014/main" id="{9775371D-1F73-9613-A0B4-58B15D0484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6104" y="144569"/>
          <a:ext cx="914400" cy="505992"/>
        </a:xfrm>
        <a:prstGeom prst="rect">
          <a:avLst/>
        </a:prstGeom>
      </xdr:spPr>
    </xdr:pic>
    <xdr:clientData/>
  </xdr:twoCellAnchor>
  <xdr:twoCellAnchor>
    <xdr:from>
      <xdr:col>2</xdr:col>
      <xdr:colOff>556277</xdr:colOff>
      <xdr:row>3</xdr:row>
      <xdr:rowOff>152112</xdr:rowOff>
    </xdr:from>
    <xdr:to>
      <xdr:col>7</xdr:col>
      <xdr:colOff>122569</xdr:colOff>
      <xdr:row>7</xdr:row>
      <xdr:rowOff>179769</xdr:rowOff>
    </xdr:to>
    <xdr:sp macro="" textlink="Analysis!B7">
      <xdr:nvSpPr>
        <xdr:cNvPr id="15" name="Rectangle: Rounded Corners 14">
          <a:extLst>
            <a:ext uri="{FF2B5EF4-FFF2-40B4-BE49-F238E27FC236}">
              <a16:creationId xmlns:a16="http://schemas.microsoft.com/office/drawing/2014/main" id="{67DF3B5E-DC27-9876-DEC8-97353C2B0DF4}"/>
            </a:ext>
          </a:extLst>
        </xdr:cNvPr>
        <xdr:cNvSpPr/>
      </xdr:nvSpPr>
      <xdr:spPr>
        <a:xfrm>
          <a:off x="1828486" y="732903"/>
          <a:ext cx="2746813" cy="802045"/>
        </a:xfrm>
        <a:prstGeom prst="roundRect">
          <a:avLst>
            <a:gd name="adj" fmla="val 5128"/>
          </a:avLst>
        </a:prstGeom>
        <a:noFill/>
        <a:ln>
          <a:solidFill>
            <a:schemeClr val="accent3"/>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6279E5D4-00E8-4719-B3CF-394CC916EFC1}" type="TxLink">
            <a:rPr lang="en-US" sz="1800" b="0" i="0" u="none" strike="noStrike">
              <a:solidFill>
                <a:srgbClr val="000000"/>
              </a:solidFill>
              <a:latin typeface="Calibri"/>
              <a:ea typeface="Calibri"/>
              <a:cs typeface="Calibri"/>
            </a:rPr>
            <a:pPr algn="ctr"/>
            <a:t> ₹ 4,46,786.00 </a:t>
          </a:fld>
          <a:endParaRPr lang="en-IN" sz="1800"/>
        </a:p>
      </xdr:txBody>
    </xdr:sp>
    <xdr:clientData/>
  </xdr:twoCellAnchor>
  <xdr:twoCellAnchor>
    <xdr:from>
      <xdr:col>7</xdr:col>
      <xdr:colOff>174739</xdr:colOff>
      <xdr:row>3</xdr:row>
      <xdr:rowOff>159027</xdr:rowOff>
    </xdr:from>
    <xdr:to>
      <xdr:col>11</xdr:col>
      <xdr:colOff>478336</xdr:colOff>
      <xdr:row>7</xdr:row>
      <xdr:rowOff>179768</xdr:rowOff>
    </xdr:to>
    <xdr:sp macro="" textlink="Analysis!D7">
      <xdr:nvSpPr>
        <xdr:cNvPr id="18" name="Rectangle: Rounded Corners 17">
          <a:extLst>
            <a:ext uri="{FF2B5EF4-FFF2-40B4-BE49-F238E27FC236}">
              <a16:creationId xmlns:a16="http://schemas.microsoft.com/office/drawing/2014/main" id="{6D6DB047-E90F-839A-EC78-B92DA3096CB6}"/>
            </a:ext>
          </a:extLst>
        </xdr:cNvPr>
        <xdr:cNvSpPr/>
      </xdr:nvSpPr>
      <xdr:spPr>
        <a:xfrm>
          <a:off x="4627469" y="739818"/>
          <a:ext cx="2848015" cy="795129"/>
        </a:xfrm>
        <a:prstGeom prst="roundRect">
          <a:avLst>
            <a:gd name="adj" fmla="val 5128"/>
          </a:avLst>
        </a:prstGeom>
        <a:no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73C26FC5-970B-4F4F-B2C2-E368E133664D}" type="TxLink">
            <a:rPr lang="en-US" sz="1800" b="1" i="1" u="none" strike="noStrike">
              <a:solidFill>
                <a:srgbClr val="000000"/>
              </a:solidFill>
              <a:latin typeface="Calibri"/>
              <a:ea typeface="Calibri"/>
              <a:cs typeface="Calibri"/>
            </a:rPr>
            <a:pPr algn="ctr"/>
            <a:t>200</a:t>
          </a:fld>
          <a:endParaRPr lang="en-IN" sz="1800" b="1" i="1"/>
        </a:p>
      </xdr:txBody>
    </xdr:sp>
    <xdr:clientData/>
  </xdr:twoCellAnchor>
  <xdr:twoCellAnchor>
    <xdr:from>
      <xdr:col>11</xdr:col>
      <xdr:colOff>579536</xdr:colOff>
      <xdr:row>3</xdr:row>
      <xdr:rowOff>152110</xdr:rowOff>
    </xdr:from>
    <xdr:to>
      <xdr:col>16</xdr:col>
      <xdr:colOff>397565</xdr:colOff>
      <xdr:row>7</xdr:row>
      <xdr:rowOff>186683</xdr:rowOff>
    </xdr:to>
    <xdr:sp macro="" textlink="Analysis!F7">
      <xdr:nvSpPr>
        <xdr:cNvPr id="19" name="Rectangle: Rounded Corners 18">
          <a:extLst>
            <a:ext uri="{FF2B5EF4-FFF2-40B4-BE49-F238E27FC236}">
              <a16:creationId xmlns:a16="http://schemas.microsoft.com/office/drawing/2014/main" id="{C5A751CE-5EDB-5D5B-865F-6C068554F276}"/>
            </a:ext>
          </a:extLst>
        </xdr:cNvPr>
        <xdr:cNvSpPr/>
      </xdr:nvSpPr>
      <xdr:spPr>
        <a:xfrm>
          <a:off x="7576683" y="731420"/>
          <a:ext cx="2998552" cy="806984"/>
        </a:xfrm>
        <a:prstGeom prst="roundRect">
          <a:avLst>
            <a:gd name="adj" fmla="val 5128"/>
          </a:avLst>
        </a:prstGeom>
        <a:no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fld id="{556332B9-283A-499D-90E7-B195978DD296}" type="TxLink">
            <a:rPr lang="en-US" sz="1800" b="1" i="1" u="none" strike="noStrike">
              <a:solidFill>
                <a:srgbClr val="000000"/>
              </a:solidFill>
              <a:latin typeface="Calibri"/>
              <a:ea typeface="Calibri"/>
              <a:cs typeface="Calibri"/>
            </a:rPr>
            <a:pPr algn="ctr"/>
            <a:t>1080</a:t>
          </a:fld>
          <a:endParaRPr lang="en-IN" sz="1800" b="1" i="1"/>
        </a:p>
      </xdr:txBody>
    </xdr:sp>
    <xdr:clientData/>
  </xdr:twoCellAnchor>
  <xdr:twoCellAnchor>
    <xdr:from>
      <xdr:col>3</xdr:col>
      <xdr:colOff>343823</xdr:colOff>
      <xdr:row>4</xdr:row>
      <xdr:rowOff>34571</xdr:rowOff>
    </xdr:from>
    <xdr:to>
      <xdr:col>6</xdr:col>
      <xdr:colOff>401652</xdr:colOff>
      <xdr:row>5</xdr:row>
      <xdr:rowOff>34571</xdr:rowOff>
    </xdr:to>
    <xdr:sp macro="" textlink="">
      <xdr:nvSpPr>
        <xdr:cNvPr id="20" name="TextBox 19">
          <a:extLst>
            <a:ext uri="{FF2B5EF4-FFF2-40B4-BE49-F238E27FC236}">
              <a16:creationId xmlns:a16="http://schemas.microsoft.com/office/drawing/2014/main" id="{BBB38B60-BB12-A08D-E3E0-D413B31C3B34}"/>
            </a:ext>
          </a:extLst>
        </xdr:cNvPr>
        <xdr:cNvSpPr txBox="1"/>
      </xdr:nvSpPr>
      <xdr:spPr>
        <a:xfrm>
          <a:off x="2252136" y="808959"/>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Revenue</a:t>
          </a:r>
        </a:p>
      </xdr:txBody>
    </xdr:sp>
    <xdr:clientData/>
  </xdr:twoCellAnchor>
  <xdr:twoCellAnchor>
    <xdr:from>
      <xdr:col>7</xdr:col>
      <xdr:colOff>548105</xdr:colOff>
      <xdr:row>4</xdr:row>
      <xdr:rowOff>20743</xdr:rowOff>
    </xdr:from>
    <xdr:to>
      <xdr:col>10</xdr:col>
      <xdr:colOff>605934</xdr:colOff>
      <xdr:row>5</xdr:row>
      <xdr:rowOff>20743</xdr:rowOff>
    </xdr:to>
    <xdr:sp macro="" textlink="">
      <xdr:nvSpPr>
        <xdr:cNvPr id="21" name="TextBox 20">
          <a:extLst>
            <a:ext uri="{FF2B5EF4-FFF2-40B4-BE49-F238E27FC236}">
              <a16:creationId xmlns:a16="http://schemas.microsoft.com/office/drawing/2014/main" id="{21BA440E-5B18-43AA-9426-B43E310759F9}"/>
            </a:ext>
          </a:extLst>
        </xdr:cNvPr>
        <xdr:cNvSpPr txBox="1"/>
      </xdr:nvSpPr>
      <xdr:spPr>
        <a:xfrm>
          <a:off x="5000835" y="795131"/>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Orders</a:t>
          </a:r>
        </a:p>
      </xdr:txBody>
    </xdr:sp>
    <xdr:clientData/>
  </xdr:twoCellAnchor>
  <xdr:twoCellAnchor>
    <xdr:from>
      <xdr:col>12</xdr:col>
      <xdr:colOff>372111</xdr:colOff>
      <xdr:row>4</xdr:row>
      <xdr:rowOff>41483</xdr:rowOff>
    </xdr:from>
    <xdr:to>
      <xdr:col>15</xdr:col>
      <xdr:colOff>429940</xdr:colOff>
      <xdr:row>5</xdr:row>
      <xdr:rowOff>41483</xdr:rowOff>
    </xdr:to>
    <xdr:sp macro="" textlink="">
      <xdr:nvSpPr>
        <xdr:cNvPr id="22" name="TextBox 21">
          <a:extLst>
            <a:ext uri="{FF2B5EF4-FFF2-40B4-BE49-F238E27FC236}">
              <a16:creationId xmlns:a16="http://schemas.microsoft.com/office/drawing/2014/main" id="{62FD4011-F5F6-44BC-9A96-6242FDC22103}"/>
            </a:ext>
          </a:extLst>
        </xdr:cNvPr>
        <xdr:cNvSpPr txBox="1"/>
      </xdr:nvSpPr>
      <xdr:spPr>
        <a:xfrm>
          <a:off x="8005363" y="815871"/>
          <a:ext cx="1966142" cy="193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t>Total Units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705156597222" createdVersion="8" refreshedVersion="8" minRefreshableVersion="3" recordCount="200" xr:uid="{3C9EA417-4268-4E5F-A9E8-FB8CD8603D79}">
  <cacheSource type="worksheet">
    <worksheetSource name="Table1"/>
  </cacheSource>
  <cacheFields count="9">
    <cacheField name="Order_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_Date" numFmtId="164">
      <sharedItems containsSemiMixedTypes="0" containsNonDate="0" containsDate="1" containsString="0" minDate="2025-01-01T00:00:00" maxDate="2025-03-03T00:00:00" count="60">
        <d v="2025-01-28T00:00:00"/>
        <d v="2025-01-29T00:00:00"/>
        <d v="2025-02-13T00:00:00"/>
        <d v="2025-01-05T00:00:00"/>
        <d v="2025-02-04T00:00:00"/>
        <d v="2025-02-23T00:00:00"/>
        <d v="2025-01-23T00:00:00"/>
        <d v="2025-02-27T00:00:00"/>
        <d v="2025-01-02T00:00:00"/>
        <d v="2025-02-14T00:00:00"/>
        <d v="2025-02-15T00:00:00"/>
        <d v="2025-01-22T00:00:00"/>
        <d v="2025-02-03T00:00:00"/>
        <d v="2025-02-05T00:00:00"/>
        <d v="2025-02-26T00:00:00"/>
        <d v="2025-02-01T00:00:00"/>
        <d v="2025-02-11T00:00:00"/>
        <d v="2025-01-19T00:00:00"/>
        <d v="2025-01-15T00:00:00"/>
        <d v="2025-01-26T00:00:00"/>
        <d v="2025-02-18T00:00:00"/>
        <d v="2025-01-09T00:00:00"/>
        <d v="2025-02-21T00:00:00"/>
        <d v="2025-01-25T00:00:00"/>
        <d v="2025-03-01T00:00:00"/>
        <d v="2025-02-10T00:00:00"/>
        <d v="2025-02-22T00:00:00"/>
        <d v="2025-01-12T00:00:00"/>
        <d v="2025-01-21T00:00:00"/>
        <d v="2025-01-11T00:00:00"/>
        <d v="2025-02-19T00:00:00"/>
        <d v="2025-01-08T00:00:00"/>
        <d v="2025-03-02T00:00:00"/>
        <d v="2025-02-06T00:00:00"/>
        <d v="2025-02-16T00:00:00"/>
        <d v="2025-01-03T00:00:00"/>
        <d v="2025-01-10T00:00:00"/>
        <d v="2025-02-02T00:00:00"/>
        <d v="2025-01-31T00:00:00"/>
        <d v="2025-02-17T00:00:00"/>
        <d v="2025-01-06T00:00:00"/>
        <d v="2025-02-25T00:00:00"/>
        <d v="2025-01-24T00:00:00"/>
        <d v="2025-01-20T00:00:00"/>
        <d v="2025-01-13T00:00:00"/>
        <d v="2025-01-04T00:00:00"/>
        <d v="2025-01-14T00:00:00"/>
        <d v="2025-01-01T00:00:00"/>
        <d v="2025-01-16T00:00:00"/>
        <d v="2025-02-24T00:00:00"/>
        <d v="2025-01-17T00:00:00"/>
        <d v="2025-02-20T00:00:00"/>
        <d v="2025-01-18T00:00:00"/>
        <d v="2025-01-30T00:00:00"/>
        <d v="2025-01-07T00:00:00"/>
        <d v="2025-02-12T00:00:00"/>
        <d v="2025-02-07T00:00:00"/>
        <d v="2025-01-27T00:00:00"/>
        <d v="2025-02-08T00:00:00"/>
        <d v="2025-02-09T00:00:00"/>
      </sharedItems>
      <fieldGroup par="8"/>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ount="192">
        <n v="852"/>
        <n v="3560"/>
        <n v="7860"/>
        <n v="40"/>
        <n v="74"/>
        <n v="1944"/>
        <n v="560"/>
        <n v="1474"/>
        <n v="647"/>
        <n v="4086"/>
        <n v="3003"/>
        <n v="1358"/>
        <n v="2012"/>
        <n v="42"/>
        <n v="3066"/>
        <n v="1410"/>
        <n v="3876"/>
        <n v="375"/>
        <n v="1896"/>
        <n v="3245"/>
        <n v="7100"/>
        <n v="6272"/>
        <n v="899"/>
        <n v="3656"/>
        <n v="5283"/>
        <n v="1680"/>
        <n v="3044"/>
        <n v="54"/>
        <n v="1053"/>
        <n v="1310"/>
        <n v="960"/>
        <n v="1490"/>
        <n v="2875"/>
        <n v="2530"/>
        <n v="4452"/>
        <n v="1143"/>
        <n v="120"/>
        <n v="2169"/>
        <n v="284"/>
        <n v="3470"/>
        <n v="2160"/>
        <n v="8060"/>
        <n v="1008"/>
        <n v="1883"/>
        <n v="1568"/>
        <n v="1000"/>
        <n v="1500"/>
        <n v="428"/>
        <n v="1638"/>
        <n v="7024"/>
        <n v="124"/>
        <n v="1431"/>
        <n v="2590"/>
        <n v="1281"/>
        <n v="840"/>
        <n v="2208"/>
        <n v="76"/>
        <n v="441"/>
        <n v="1646"/>
        <n v="745"/>
        <n v="5530"/>
        <n v="6720"/>
        <n v="382"/>
        <n v="920"/>
        <n v="228"/>
        <n v="2286"/>
        <n v="192"/>
        <n v="685"/>
        <n v="44"/>
        <n v="590"/>
        <n v="2336"/>
        <n v="210"/>
        <n v="3280"/>
        <n v="1356"/>
        <n v="1955"/>
        <n v="580"/>
        <n v="5130"/>
        <n v="1180"/>
        <n v="3296"/>
        <n v="715"/>
        <n v="1900"/>
        <n v="1881"/>
        <n v="7240"/>
        <n v="4680"/>
        <n v="1434"/>
        <n v="2673"/>
        <n v="3311"/>
        <n v="7192"/>
        <n v="497"/>
        <n v="684"/>
        <n v="1704"/>
        <n v="1628"/>
        <n v="2250"/>
        <n v="4860"/>
        <n v="505"/>
        <n v="1028"/>
        <n v="1800"/>
        <n v="390"/>
        <n v="1700"/>
        <n v="1956"/>
        <n v="1022"/>
        <n v="1757"/>
        <n v="1515"/>
        <n v="2772"/>
        <n v="460"/>
        <n v="6984"/>
        <n v="4952"/>
        <n v="2622"/>
        <n v="7281"/>
        <n v="1102"/>
        <n v="2172"/>
        <n v="1640"/>
        <n v="2334"/>
        <n v="378"/>
        <n v="1035"/>
        <n v="7767"/>
        <n v="1866"/>
        <n v="3753"/>
        <n v="747"/>
        <n v="7130"/>
        <n v="1960"/>
        <n v="482"/>
        <n v="400"/>
        <n v="891"/>
        <n v="2763"/>
        <n v="2046"/>
        <n v="1632"/>
        <n v="705"/>
        <n v="1448"/>
        <n v="1586"/>
        <n v="1108"/>
        <n v="2972"/>
        <n v="579"/>
        <n v="851"/>
        <n v="2240"/>
        <n v="2079"/>
        <n v="1528"/>
        <n v="2395"/>
        <n v="876"/>
        <n v="2465"/>
        <n v="1290"/>
        <n v="5957"/>
        <n v="3976"/>
        <n v="1444"/>
        <n v="996"/>
        <n v="450"/>
        <n v="1312"/>
        <n v="3460"/>
        <n v="2133"/>
        <n v="2628"/>
        <n v="2112"/>
        <n v="5033"/>
        <n v="1897"/>
        <n v="5019"/>
        <n v="725"/>
        <n v="5112"/>
        <n v="5940"/>
        <n v="2376"/>
        <n v="4744"/>
        <n v="5536"/>
        <n v="4056"/>
        <n v="681"/>
        <n v="2790"/>
        <n v="787"/>
        <n v="1230"/>
        <n v="296"/>
        <n v="139"/>
        <n v="1690"/>
        <n v="117"/>
        <n v="2597"/>
        <n v="1200"/>
        <n v="2244"/>
        <n v="798"/>
        <n v="3610"/>
        <n v="408"/>
        <n v="2016"/>
        <n v="1854"/>
        <n v="2768"/>
        <n v="818"/>
        <n v="324"/>
        <n v="2793"/>
        <n v="8900"/>
        <n v="2375"/>
        <n v="5640"/>
        <n v="5800"/>
        <n v="1631"/>
        <n v="2040"/>
        <n v="490"/>
        <n v="750"/>
        <n v="1452"/>
        <n v="3055"/>
        <n v="1272"/>
      </sharedItems>
    </cacheField>
    <cacheField name="Months (Order_Date)" numFmtId="0" databaseField="0">
      <fieldGroup base="1">
        <rangePr groupBy="months" startDate="2025-01-01T00:00:00" endDate="2025-03-03T00:00:00"/>
        <groupItems count="14">
          <s v="&lt;01-01-2025"/>
          <s v="Jan"/>
          <s v="Feb"/>
          <s v="Mar"/>
          <s v="Apr"/>
          <s v="May"/>
          <s v="Jun"/>
          <s v="Jul"/>
          <s v="Aug"/>
          <s v="Sep"/>
          <s v="Oct"/>
          <s v="Nov"/>
          <s v="Dec"/>
          <s v="&gt;03-03-2025"/>
        </groupItems>
      </fieldGroup>
    </cacheField>
  </cacheFields>
  <extLst>
    <ext xmlns:x14="http://schemas.microsoft.com/office/spreadsheetml/2009/9/main" uri="{725AE2AE-9491-48be-B2B4-4EB974FC3084}">
      <x14:pivotCacheDefinition pivotCacheId="645727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097.822864930553" createdVersion="8" refreshedVersion="8" minRefreshableVersion="3" recordCount="200" xr:uid="{ECED5380-2828-4CFE-B73F-8E9617D4089E}">
  <cacheSource type="worksheet">
    <worksheetSource name="Table1_1"/>
  </cacheSource>
  <cacheFields count="8">
    <cacheField name="Order_ID" numFmtId="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0">
      <sharedItems containsSemiMixedTypes="0" containsString="0" containsNumber="1" containsInteger="1" minValue="40" maxValue="8900"/>
    </cacheField>
  </cacheFields>
  <extLst>
    <ext xmlns:x14="http://schemas.microsoft.com/office/spreadsheetml/2009/9/main" uri="{725AE2AE-9491-48be-B2B4-4EB974FC3084}">
      <x14:pivotCacheDefinition pivotCacheId="1905879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n v="6"/>
    <n v="142"/>
    <x v="0"/>
  </r>
  <r>
    <x v="1"/>
    <x v="1"/>
    <x v="1"/>
    <x v="1"/>
    <x v="1"/>
    <n v="4"/>
    <n v="890"/>
    <x v="1"/>
  </r>
  <r>
    <x v="2"/>
    <x v="2"/>
    <x v="0"/>
    <x v="0"/>
    <x v="0"/>
    <n v="10"/>
    <n v="786"/>
    <x v="2"/>
  </r>
  <r>
    <x v="3"/>
    <x v="3"/>
    <x v="0"/>
    <x v="2"/>
    <x v="2"/>
    <n v="2"/>
    <n v="20"/>
    <x v="3"/>
  </r>
  <r>
    <x v="4"/>
    <x v="4"/>
    <x v="0"/>
    <x v="2"/>
    <x v="2"/>
    <n v="1"/>
    <n v="74"/>
    <x v="4"/>
  </r>
  <r>
    <x v="5"/>
    <x v="5"/>
    <x v="0"/>
    <x v="1"/>
    <x v="1"/>
    <n v="4"/>
    <n v="486"/>
    <x v="5"/>
  </r>
  <r>
    <x v="6"/>
    <x v="6"/>
    <x v="0"/>
    <x v="0"/>
    <x v="0"/>
    <n v="1"/>
    <n v="560"/>
    <x v="6"/>
  </r>
  <r>
    <x v="7"/>
    <x v="7"/>
    <x v="1"/>
    <x v="3"/>
    <x v="0"/>
    <n v="2"/>
    <n v="737"/>
    <x v="7"/>
  </r>
  <r>
    <x v="8"/>
    <x v="8"/>
    <x v="2"/>
    <x v="0"/>
    <x v="0"/>
    <n v="1"/>
    <n v="647"/>
    <x v="8"/>
  </r>
  <r>
    <x v="9"/>
    <x v="9"/>
    <x v="0"/>
    <x v="4"/>
    <x v="2"/>
    <n v="6"/>
    <n v="681"/>
    <x v="9"/>
  </r>
  <r>
    <x v="10"/>
    <x v="10"/>
    <x v="3"/>
    <x v="5"/>
    <x v="2"/>
    <n v="7"/>
    <n v="429"/>
    <x v="10"/>
  </r>
  <r>
    <x v="11"/>
    <x v="11"/>
    <x v="2"/>
    <x v="6"/>
    <x v="2"/>
    <n v="7"/>
    <n v="194"/>
    <x v="11"/>
  </r>
  <r>
    <x v="12"/>
    <x v="5"/>
    <x v="0"/>
    <x v="3"/>
    <x v="0"/>
    <n v="4"/>
    <n v="503"/>
    <x v="12"/>
  </r>
  <r>
    <x v="13"/>
    <x v="12"/>
    <x v="1"/>
    <x v="2"/>
    <x v="2"/>
    <n v="2"/>
    <n v="21"/>
    <x v="13"/>
  </r>
  <r>
    <x v="14"/>
    <x v="13"/>
    <x v="3"/>
    <x v="2"/>
    <x v="2"/>
    <n v="6"/>
    <n v="511"/>
    <x v="14"/>
  </r>
  <r>
    <x v="15"/>
    <x v="14"/>
    <x v="0"/>
    <x v="3"/>
    <x v="0"/>
    <n v="6"/>
    <n v="235"/>
    <x v="15"/>
  </r>
  <r>
    <x v="16"/>
    <x v="15"/>
    <x v="1"/>
    <x v="0"/>
    <x v="0"/>
    <n v="6"/>
    <n v="646"/>
    <x v="16"/>
  </r>
  <r>
    <x v="17"/>
    <x v="11"/>
    <x v="3"/>
    <x v="2"/>
    <x v="2"/>
    <n v="1"/>
    <n v="375"/>
    <x v="17"/>
  </r>
  <r>
    <x v="18"/>
    <x v="13"/>
    <x v="2"/>
    <x v="3"/>
    <x v="0"/>
    <n v="4"/>
    <n v="474"/>
    <x v="18"/>
  </r>
  <r>
    <x v="19"/>
    <x v="16"/>
    <x v="0"/>
    <x v="0"/>
    <x v="0"/>
    <n v="5"/>
    <n v="649"/>
    <x v="19"/>
  </r>
  <r>
    <x v="20"/>
    <x v="7"/>
    <x v="0"/>
    <x v="3"/>
    <x v="0"/>
    <n v="10"/>
    <n v="710"/>
    <x v="20"/>
  </r>
  <r>
    <x v="21"/>
    <x v="17"/>
    <x v="3"/>
    <x v="1"/>
    <x v="1"/>
    <n v="7"/>
    <n v="896"/>
    <x v="21"/>
  </r>
  <r>
    <x v="22"/>
    <x v="18"/>
    <x v="3"/>
    <x v="1"/>
    <x v="1"/>
    <n v="1"/>
    <n v="899"/>
    <x v="22"/>
  </r>
  <r>
    <x v="23"/>
    <x v="6"/>
    <x v="3"/>
    <x v="5"/>
    <x v="2"/>
    <n v="8"/>
    <n v="457"/>
    <x v="23"/>
  </r>
  <r>
    <x v="24"/>
    <x v="6"/>
    <x v="3"/>
    <x v="1"/>
    <x v="1"/>
    <n v="9"/>
    <n v="587"/>
    <x v="24"/>
  </r>
  <r>
    <x v="25"/>
    <x v="19"/>
    <x v="1"/>
    <x v="1"/>
    <x v="1"/>
    <n v="4"/>
    <n v="420"/>
    <x v="25"/>
  </r>
  <r>
    <x v="26"/>
    <x v="20"/>
    <x v="2"/>
    <x v="0"/>
    <x v="0"/>
    <n v="4"/>
    <n v="761"/>
    <x v="26"/>
  </r>
  <r>
    <x v="27"/>
    <x v="21"/>
    <x v="2"/>
    <x v="1"/>
    <x v="1"/>
    <n v="3"/>
    <n v="18"/>
    <x v="27"/>
  </r>
  <r>
    <x v="28"/>
    <x v="22"/>
    <x v="1"/>
    <x v="4"/>
    <x v="2"/>
    <n v="3"/>
    <n v="351"/>
    <x v="28"/>
  </r>
  <r>
    <x v="29"/>
    <x v="23"/>
    <x v="2"/>
    <x v="2"/>
    <x v="2"/>
    <n v="10"/>
    <n v="131"/>
    <x v="29"/>
  </r>
  <r>
    <x v="30"/>
    <x v="24"/>
    <x v="0"/>
    <x v="3"/>
    <x v="0"/>
    <n v="4"/>
    <n v="240"/>
    <x v="30"/>
  </r>
  <r>
    <x v="31"/>
    <x v="25"/>
    <x v="0"/>
    <x v="4"/>
    <x v="2"/>
    <n v="5"/>
    <n v="298"/>
    <x v="31"/>
  </r>
  <r>
    <x v="32"/>
    <x v="24"/>
    <x v="0"/>
    <x v="3"/>
    <x v="0"/>
    <n v="5"/>
    <n v="575"/>
    <x v="32"/>
  </r>
  <r>
    <x v="33"/>
    <x v="7"/>
    <x v="2"/>
    <x v="5"/>
    <x v="2"/>
    <n v="10"/>
    <n v="253"/>
    <x v="33"/>
  </r>
  <r>
    <x v="34"/>
    <x v="24"/>
    <x v="3"/>
    <x v="1"/>
    <x v="1"/>
    <n v="7"/>
    <n v="636"/>
    <x v="34"/>
  </r>
  <r>
    <x v="35"/>
    <x v="1"/>
    <x v="3"/>
    <x v="4"/>
    <x v="2"/>
    <n v="9"/>
    <n v="127"/>
    <x v="35"/>
  </r>
  <r>
    <x v="36"/>
    <x v="15"/>
    <x v="1"/>
    <x v="4"/>
    <x v="2"/>
    <n v="1"/>
    <n v="120"/>
    <x v="36"/>
  </r>
  <r>
    <x v="37"/>
    <x v="12"/>
    <x v="2"/>
    <x v="1"/>
    <x v="1"/>
    <n v="9"/>
    <n v="241"/>
    <x v="37"/>
  </r>
  <r>
    <x v="38"/>
    <x v="3"/>
    <x v="3"/>
    <x v="3"/>
    <x v="0"/>
    <n v="1"/>
    <n v="284"/>
    <x v="38"/>
  </r>
  <r>
    <x v="39"/>
    <x v="26"/>
    <x v="3"/>
    <x v="0"/>
    <x v="0"/>
    <n v="5"/>
    <n v="694"/>
    <x v="39"/>
  </r>
  <r>
    <x v="40"/>
    <x v="22"/>
    <x v="1"/>
    <x v="6"/>
    <x v="2"/>
    <n v="10"/>
    <n v="216"/>
    <x v="40"/>
  </r>
  <r>
    <x v="41"/>
    <x v="26"/>
    <x v="2"/>
    <x v="0"/>
    <x v="0"/>
    <n v="10"/>
    <n v="806"/>
    <x v="41"/>
  </r>
  <r>
    <x v="42"/>
    <x v="27"/>
    <x v="2"/>
    <x v="4"/>
    <x v="2"/>
    <n v="3"/>
    <n v="336"/>
    <x v="42"/>
  </r>
  <r>
    <x v="43"/>
    <x v="28"/>
    <x v="3"/>
    <x v="2"/>
    <x v="2"/>
    <n v="7"/>
    <n v="269"/>
    <x v="43"/>
  </r>
  <r>
    <x v="44"/>
    <x v="27"/>
    <x v="2"/>
    <x v="4"/>
    <x v="2"/>
    <n v="2"/>
    <n v="784"/>
    <x v="44"/>
  </r>
  <r>
    <x v="45"/>
    <x v="29"/>
    <x v="0"/>
    <x v="2"/>
    <x v="2"/>
    <n v="5"/>
    <n v="282"/>
    <x v="15"/>
  </r>
  <r>
    <x v="46"/>
    <x v="30"/>
    <x v="0"/>
    <x v="3"/>
    <x v="0"/>
    <n v="8"/>
    <n v="125"/>
    <x v="45"/>
  </r>
  <r>
    <x v="47"/>
    <x v="31"/>
    <x v="3"/>
    <x v="2"/>
    <x v="2"/>
    <n v="10"/>
    <n v="150"/>
    <x v="46"/>
  </r>
  <r>
    <x v="48"/>
    <x v="32"/>
    <x v="2"/>
    <x v="2"/>
    <x v="2"/>
    <n v="1"/>
    <n v="428"/>
    <x v="47"/>
  </r>
  <r>
    <x v="49"/>
    <x v="13"/>
    <x v="0"/>
    <x v="2"/>
    <x v="2"/>
    <n v="9"/>
    <n v="182"/>
    <x v="48"/>
  </r>
  <r>
    <x v="50"/>
    <x v="33"/>
    <x v="0"/>
    <x v="0"/>
    <x v="0"/>
    <n v="8"/>
    <n v="878"/>
    <x v="49"/>
  </r>
  <r>
    <x v="51"/>
    <x v="34"/>
    <x v="3"/>
    <x v="5"/>
    <x v="2"/>
    <n v="4"/>
    <n v="31"/>
    <x v="50"/>
  </r>
  <r>
    <x v="52"/>
    <x v="31"/>
    <x v="0"/>
    <x v="4"/>
    <x v="2"/>
    <n v="9"/>
    <n v="159"/>
    <x v="51"/>
  </r>
  <r>
    <x v="53"/>
    <x v="35"/>
    <x v="2"/>
    <x v="2"/>
    <x v="2"/>
    <n v="10"/>
    <n v="259"/>
    <x v="52"/>
  </r>
  <r>
    <x v="54"/>
    <x v="33"/>
    <x v="0"/>
    <x v="3"/>
    <x v="0"/>
    <n v="3"/>
    <n v="427"/>
    <x v="53"/>
  </r>
  <r>
    <x v="55"/>
    <x v="4"/>
    <x v="0"/>
    <x v="4"/>
    <x v="2"/>
    <n v="8"/>
    <n v="105"/>
    <x v="54"/>
  </r>
  <r>
    <x v="56"/>
    <x v="36"/>
    <x v="2"/>
    <x v="2"/>
    <x v="2"/>
    <n v="8"/>
    <n v="276"/>
    <x v="55"/>
  </r>
  <r>
    <x v="57"/>
    <x v="7"/>
    <x v="3"/>
    <x v="3"/>
    <x v="0"/>
    <n v="1"/>
    <n v="76"/>
    <x v="56"/>
  </r>
  <r>
    <x v="58"/>
    <x v="37"/>
    <x v="0"/>
    <x v="4"/>
    <x v="2"/>
    <n v="9"/>
    <n v="49"/>
    <x v="57"/>
  </r>
  <r>
    <x v="59"/>
    <x v="38"/>
    <x v="2"/>
    <x v="3"/>
    <x v="0"/>
    <n v="2"/>
    <n v="823"/>
    <x v="58"/>
  </r>
  <r>
    <x v="60"/>
    <x v="39"/>
    <x v="1"/>
    <x v="6"/>
    <x v="2"/>
    <n v="5"/>
    <n v="149"/>
    <x v="59"/>
  </r>
  <r>
    <x v="61"/>
    <x v="40"/>
    <x v="1"/>
    <x v="1"/>
    <x v="1"/>
    <n v="7"/>
    <n v="790"/>
    <x v="60"/>
  </r>
  <r>
    <x v="62"/>
    <x v="34"/>
    <x v="0"/>
    <x v="4"/>
    <x v="2"/>
    <n v="8"/>
    <n v="840"/>
    <x v="61"/>
  </r>
  <r>
    <x v="63"/>
    <x v="4"/>
    <x v="1"/>
    <x v="1"/>
    <x v="1"/>
    <n v="1"/>
    <n v="382"/>
    <x v="62"/>
  </r>
  <r>
    <x v="64"/>
    <x v="41"/>
    <x v="0"/>
    <x v="1"/>
    <x v="1"/>
    <n v="2"/>
    <n v="460"/>
    <x v="63"/>
  </r>
  <r>
    <x v="65"/>
    <x v="0"/>
    <x v="2"/>
    <x v="0"/>
    <x v="0"/>
    <n v="6"/>
    <n v="38"/>
    <x v="64"/>
  </r>
  <r>
    <x v="66"/>
    <x v="2"/>
    <x v="2"/>
    <x v="4"/>
    <x v="2"/>
    <n v="3"/>
    <n v="762"/>
    <x v="65"/>
  </r>
  <r>
    <x v="67"/>
    <x v="42"/>
    <x v="2"/>
    <x v="2"/>
    <x v="2"/>
    <n v="2"/>
    <n v="96"/>
    <x v="66"/>
  </r>
  <r>
    <x v="68"/>
    <x v="43"/>
    <x v="2"/>
    <x v="6"/>
    <x v="2"/>
    <n v="1"/>
    <n v="685"/>
    <x v="67"/>
  </r>
  <r>
    <x v="69"/>
    <x v="14"/>
    <x v="2"/>
    <x v="6"/>
    <x v="2"/>
    <n v="1"/>
    <n v="44"/>
    <x v="68"/>
  </r>
  <r>
    <x v="70"/>
    <x v="44"/>
    <x v="1"/>
    <x v="1"/>
    <x v="1"/>
    <n v="2"/>
    <n v="295"/>
    <x v="69"/>
  </r>
  <r>
    <x v="71"/>
    <x v="34"/>
    <x v="3"/>
    <x v="3"/>
    <x v="0"/>
    <n v="8"/>
    <n v="292"/>
    <x v="70"/>
  </r>
  <r>
    <x v="72"/>
    <x v="9"/>
    <x v="1"/>
    <x v="2"/>
    <x v="2"/>
    <n v="3"/>
    <n v="70"/>
    <x v="71"/>
  </r>
  <r>
    <x v="73"/>
    <x v="45"/>
    <x v="2"/>
    <x v="0"/>
    <x v="0"/>
    <n v="5"/>
    <n v="656"/>
    <x v="72"/>
  </r>
  <r>
    <x v="74"/>
    <x v="8"/>
    <x v="2"/>
    <x v="5"/>
    <x v="2"/>
    <n v="3"/>
    <n v="452"/>
    <x v="73"/>
  </r>
  <r>
    <x v="75"/>
    <x v="46"/>
    <x v="1"/>
    <x v="2"/>
    <x v="2"/>
    <n v="5"/>
    <n v="391"/>
    <x v="74"/>
  </r>
  <r>
    <x v="76"/>
    <x v="34"/>
    <x v="1"/>
    <x v="2"/>
    <x v="2"/>
    <n v="2"/>
    <n v="290"/>
    <x v="75"/>
  </r>
  <r>
    <x v="77"/>
    <x v="36"/>
    <x v="0"/>
    <x v="0"/>
    <x v="0"/>
    <n v="6"/>
    <n v="855"/>
    <x v="76"/>
  </r>
  <r>
    <x v="78"/>
    <x v="47"/>
    <x v="0"/>
    <x v="4"/>
    <x v="2"/>
    <n v="4"/>
    <n v="295"/>
    <x v="77"/>
  </r>
  <r>
    <x v="79"/>
    <x v="7"/>
    <x v="3"/>
    <x v="5"/>
    <x v="2"/>
    <n v="4"/>
    <n v="824"/>
    <x v="78"/>
  </r>
  <r>
    <x v="80"/>
    <x v="19"/>
    <x v="2"/>
    <x v="2"/>
    <x v="2"/>
    <n v="1"/>
    <n v="715"/>
    <x v="79"/>
  </r>
  <r>
    <x v="81"/>
    <x v="6"/>
    <x v="0"/>
    <x v="4"/>
    <x v="2"/>
    <n v="5"/>
    <n v="380"/>
    <x v="80"/>
  </r>
  <r>
    <x v="82"/>
    <x v="48"/>
    <x v="1"/>
    <x v="6"/>
    <x v="2"/>
    <n v="9"/>
    <n v="209"/>
    <x v="81"/>
  </r>
  <r>
    <x v="83"/>
    <x v="6"/>
    <x v="0"/>
    <x v="2"/>
    <x v="2"/>
    <n v="10"/>
    <n v="724"/>
    <x v="82"/>
  </r>
  <r>
    <x v="84"/>
    <x v="27"/>
    <x v="1"/>
    <x v="5"/>
    <x v="2"/>
    <n v="6"/>
    <n v="780"/>
    <x v="83"/>
  </r>
  <r>
    <x v="85"/>
    <x v="41"/>
    <x v="1"/>
    <x v="0"/>
    <x v="0"/>
    <n v="6"/>
    <n v="239"/>
    <x v="84"/>
  </r>
  <r>
    <x v="86"/>
    <x v="23"/>
    <x v="0"/>
    <x v="4"/>
    <x v="2"/>
    <n v="9"/>
    <n v="297"/>
    <x v="85"/>
  </r>
  <r>
    <x v="87"/>
    <x v="31"/>
    <x v="1"/>
    <x v="6"/>
    <x v="2"/>
    <n v="7"/>
    <n v="473"/>
    <x v="86"/>
  </r>
  <r>
    <x v="88"/>
    <x v="9"/>
    <x v="2"/>
    <x v="5"/>
    <x v="2"/>
    <n v="8"/>
    <n v="899"/>
    <x v="87"/>
  </r>
  <r>
    <x v="89"/>
    <x v="45"/>
    <x v="3"/>
    <x v="5"/>
    <x v="2"/>
    <n v="7"/>
    <n v="71"/>
    <x v="88"/>
  </r>
  <r>
    <x v="90"/>
    <x v="14"/>
    <x v="3"/>
    <x v="6"/>
    <x v="2"/>
    <n v="1"/>
    <n v="684"/>
    <x v="89"/>
  </r>
  <r>
    <x v="91"/>
    <x v="47"/>
    <x v="1"/>
    <x v="1"/>
    <x v="1"/>
    <n v="6"/>
    <n v="284"/>
    <x v="90"/>
  </r>
  <r>
    <x v="92"/>
    <x v="13"/>
    <x v="2"/>
    <x v="6"/>
    <x v="2"/>
    <n v="2"/>
    <n v="814"/>
    <x v="91"/>
  </r>
  <r>
    <x v="93"/>
    <x v="14"/>
    <x v="3"/>
    <x v="5"/>
    <x v="2"/>
    <n v="3"/>
    <n v="750"/>
    <x v="92"/>
  </r>
  <r>
    <x v="94"/>
    <x v="20"/>
    <x v="1"/>
    <x v="1"/>
    <x v="1"/>
    <n v="6"/>
    <n v="810"/>
    <x v="93"/>
  </r>
  <r>
    <x v="95"/>
    <x v="37"/>
    <x v="1"/>
    <x v="1"/>
    <x v="1"/>
    <n v="1"/>
    <n v="505"/>
    <x v="94"/>
  </r>
  <r>
    <x v="96"/>
    <x v="17"/>
    <x v="3"/>
    <x v="4"/>
    <x v="2"/>
    <n v="4"/>
    <n v="257"/>
    <x v="95"/>
  </r>
  <r>
    <x v="97"/>
    <x v="37"/>
    <x v="2"/>
    <x v="2"/>
    <x v="2"/>
    <n v="6"/>
    <n v="300"/>
    <x v="96"/>
  </r>
  <r>
    <x v="98"/>
    <x v="48"/>
    <x v="2"/>
    <x v="2"/>
    <x v="2"/>
    <n v="6"/>
    <n v="65"/>
    <x v="97"/>
  </r>
  <r>
    <x v="99"/>
    <x v="49"/>
    <x v="2"/>
    <x v="3"/>
    <x v="0"/>
    <n v="5"/>
    <n v="340"/>
    <x v="98"/>
  </r>
  <r>
    <x v="100"/>
    <x v="9"/>
    <x v="0"/>
    <x v="5"/>
    <x v="2"/>
    <n v="6"/>
    <n v="326"/>
    <x v="99"/>
  </r>
  <r>
    <x v="101"/>
    <x v="11"/>
    <x v="2"/>
    <x v="6"/>
    <x v="2"/>
    <n v="7"/>
    <n v="146"/>
    <x v="100"/>
  </r>
  <r>
    <x v="102"/>
    <x v="22"/>
    <x v="0"/>
    <x v="4"/>
    <x v="2"/>
    <n v="7"/>
    <n v="251"/>
    <x v="101"/>
  </r>
  <r>
    <x v="103"/>
    <x v="24"/>
    <x v="2"/>
    <x v="0"/>
    <x v="0"/>
    <n v="5"/>
    <n v="303"/>
    <x v="102"/>
  </r>
  <r>
    <x v="104"/>
    <x v="7"/>
    <x v="1"/>
    <x v="1"/>
    <x v="1"/>
    <n v="7"/>
    <n v="396"/>
    <x v="103"/>
  </r>
  <r>
    <x v="105"/>
    <x v="7"/>
    <x v="1"/>
    <x v="3"/>
    <x v="0"/>
    <n v="10"/>
    <n v="46"/>
    <x v="104"/>
  </r>
  <r>
    <x v="106"/>
    <x v="12"/>
    <x v="2"/>
    <x v="5"/>
    <x v="2"/>
    <n v="8"/>
    <n v="873"/>
    <x v="105"/>
  </r>
  <r>
    <x v="107"/>
    <x v="11"/>
    <x v="1"/>
    <x v="1"/>
    <x v="1"/>
    <n v="8"/>
    <n v="619"/>
    <x v="106"/>
  </r>
  <r>
    <x v="108"/>
    <x v="45"/>
    <x v="0"/>
    <x v="1"/>
    <x v="1"/>
    <n v="6"/>
    <n v="437"/>
    <x v="107"/>
  </r>
  <r>
    <x v="109"/>
    <x v="15"/>
    <x v="3"/>
    <x v="5"/>
    <x v="2"/>
    <n v="9"/>
    <n v="809"/>
    <x v="108"/>
  </r>
  <r>
    <x v="110"/>
    <x v="50"/>
    <x v="3"/>
    <x v="0"/>
    <x v="0"/>
    <n v="2"/>
    <n v="551"/>
    <x v="109"/>
  </r>
  <r>
    <x v="111"/>
    <x v="45"/>
    <x v="3"/>
    <x v="5"/>
    <x v="2"/>
    <n v="6"/>
    <n v="362"/>
    <x v="110"/>
  </r>
  <r>
    <x v="112"/>
    <x v="43"/>
    <x v="2"/>
    <x v="2"/>
    <x v="2"/>
    <n v="5"/>
    <n v="328"/>
    <x v="111"/>
  </r>
  <r>
    <x v="113"/>
    <x v="51"/>
    <x v="3"/>
    <x v="6"/>
    <x v="2"/>
    <n v="6"/>
    <n v="389"/>
    <x v="112"/>
  </r>
  <r>
    <x v="114"/>
    <x v="52"/>
    <x v="0"/>
    <x v="2"/>
    <x v="2"/>
    <n v="7"/>
    <n v="54"/>
    <x v="113"/>
  </r>
  <r>
    <x v="115"/>
    <x v="2"/>
    <x v="0"/>
    <x v="3"/>
    <x v="0"/>
    <n v="3"/>
    <n v="345"/>
    <x v="114"/>
  </r>
  <r>
    <x v="116"/>
    <x v="34"/>
    <x v="1"/>
    <x v="6"/>
    <x v="2"/>
    <n v="9"/>
    <n v="863"/>
    <x v="115"/>
  </r>
  <r>
    <x v="117"/>
    <x v="5"/>
    <x v="3"/>
    <x v="1"/>
    <x v="1"/>
    <n v="6"/>
    <n v="311"/>
    <x v="116"/>
  </r>
  <r>
    <x v="118"/>
    <x v="18"/>
    <x v="2"/>
    <x v="1"/>
    <x v="1"/>
    <n v="9"/>
    <n v="417"/>
    <x v="117"/>
  </r>
  <r>
    <x v="119"/>
    <x v="16"/>
    <x v="3"/>
    <x v="0"/>
    <x v="0"/>
    <n v="1"/>
    <n v="747"/>
    <x v="118"/>
  </r>
  <r>
    <x v="120"/>
    <x v="6"/>
    <x v="2"/>
    <x v="4"/>
    <x v="2"/>
    <n v="10"/>
    <n v="713"/>
    <x v="119"/>
  </r>
  <r>
    <x v="121"/>
    <x v="9"/>
    <x v="0"/>
    <x v="6"/>
    <x v="2"/>
    <n v="7"/>
    <n v="280"/>
    <x v="120"/>
  </r>
  <r>
    <x v="122"/>
    <x v="34"/>
    <x v="2"/>
    <x v="1"/>
    <x v="1"/>
    <n v="2"/>
    <n v="241"/>
    <x v="121"/>
  </r>
  <r>
    <x v="123"/>
    <x v="52"/>
    <x v="2"/>
    <x v="6"/>
    <x v="2"/>
    <n v="10"/>
    <n v="40"/>
    <x v="122"/>
  </r>
  <r>
    <x v="124"/>
    <x v="53"/>
    <x v="1"/>
    <x v="3"/>
    <x v="0"/>
    <n v="9"/>
    <n v="99"/>
    <x v="123"/>
  </r>
  <r>
    <x v="125"/>
    <x v="3"/>
    <x v="3"/>
    <x v="1"/>
    <x v="1"/>
    <n v="9"/>
    <n v="307"/>
    <x v="124"/>
  </r>
  <r>
    <x v="126"/>
    <x v="7"/>
    <x v="3"/>
    <x v="5"/>
    <x v="2"/>
    <n v="3"/>
    <n v="682"/>
    <x v="125"/>
  </r>
  <r>
    <x v="127"/>
    <x v="38"/>
    <x v="2"/>
    <x v="5"/>
    <x v="2"/>
    <n v="3"/>
    <n v="544"/>
    <x v="126"/>
  </r>
  <r>
    <x v="128"/>
    <x v="53"/>
    <x v="0"/>
    <x v="5"/>
    <x v="2"/>
    <n v="5"/>
    <n v="141"/>
    <x v="127"/>
  </r>
  <r>
    <x v="129"/>
    <x v="53"/>
    <x v="1"/>
    <x v="3"/>
    <x v="0"/>
    <n v="2"/>
    <n v="724"/>
    <x v="128"/>
  </r>
  <r>
    <x v="130"/>
    <x v="41"/>
    <x v="3"/>
    <x v="4"/>
    <x v="2"/>
    <n v="2"/>
    <n v="793"/>
    <x v="129"/>
  </r>
  <r>
    <x v="131"/>
    <x v="38"/>
    <x v="1"/>
    <x v="6"/>
    <x v="2"/>
    <n v="2"/>
    <n v="554"/>
    <x v="130"/>
  </r>
  <r>
    <x v="132"/>
    <x v="45"/>
    <x v="3"/>
    <x v="6"/>
    <x v="2"/>
    <n v="4"/>
    <n v="743"/>
    <x v="131"/>
  </r>
  <r>
    <x v="133"/>
    <x v="10"/>
    <x v="1"/>
    <x v="2"/>
    <x v="2"/>
    <n v="3"/>
    <n v="193"/>
    <x v="132"/>
  </r>
  <r>
    <x v="134"/>
    <x v="30"/>
    <x v="0"/>
    <x v="6"/>
    <x v="2"/>
    <n v="1"/>
    <n v="851"/>
    <x v="133"/>
  </r>
  <r>
    <x v="135"/>
    <x v="13"/>
    <x v="0"/>
    <x v="2"/>
    <x v="2"/>
    <n v="5"/>
    <n v="448"/>
    <x v="134"/>
  </r>
  <r>
    <x v="136"/>
    <x v="31"/>
    <x v="2"/>
    <x v="2"/>
    <x v="2"/>
    <n v="9"/>
    <n v="231"/>
    <x v="135"/>
  </r>
  <r>
    <x v="137"/>
    <x v="45"/>
    <x v="2"/>
    <x v="2"/>
    <x v="2"/>
    <n v="8"/>
    <n v="191"/>
    <x v="136"/>
  </r>
  <r>
    <x v="138"/>
    <x v="31"/>
    <x v="3"/>
    <x v="2"/>
    <x v="2"/>
    <n v="5"/>
    <n v="479"/>
    <x v="137"/>
  </r>
  <r>
    <x v="139"/>
    <x v="2"/>
    <x v="2"/>
    <x v="0"/>
    <x v="0"/>
    <n v="9"/>
    <n v="308"/>
    <x v="103"/>
  </r>
  <r>
    <x v="140"/>
    <x v="54"/>
    <x v="0"/>
    <x v="0"/>
    <x v="0"/>
    <n v="3"/>
    <n v="292"/>
    <x v="138"/>
  </r>
  <r>
    <x v="141"/>
    <x v="35"/>
    <x v="1"/>
    <x v="0"/>
    <x v="0"/>
    <n v="5"/>
    <n v="493"/>
    <x v="139"/>
  </r>
  <r>
    <x v="142"/>
    <x v="0"/>
    <x v="2"/>
    <x v="3"/>
    <x v="0"/>
    <n v="2"/>
    <n v="645"/>
    <x v="140"/>
  </r>
  <r>
    <x v="143"/>
    <x v="2"/>
    <x v="2"/>
    <x v="4"/>
    <x v="2"/>
    <n v="7"/>
    <n v="851"/>
    <x v="141"/>
  </r>
  <r>
    <x v="144"/>
    <x v="16"/>
    <x v="0"/>
    <x v="1"/>
    <x v="1"/>
    <n v="8"/>
    <n v="497"/>
    <x v="142"/>
  </r>
  <r>
    <x v="145"/>
    <x v="55"/>
    <x v="0"/>
    <x v="3"/>
    <x v="0"/>
    <n v="2"/>
    <n v="722"/>
    <x v="143"/>
  </r>
  <r>
    <x v="146"/>
    <x v="8"/>
    <x v="1"/>
    <x v="1"/>
    <x v="1"/>
    <n v="3"/>
    <n v="332"/>
    <x v="144"/>
  </r>
  <r>
    <x v="147"/>
    <x v="56"/>
    <x v="2"/>
    <x v="2"/>
    <x v="2"/>
    <n v="5"/>
    <n v="90"/>
    <x v="145"/>
  </r>
  <r>
    <x v="148"/>
    <x v="44"/>
    <x v="3"/>
    <x v="6"/>
    <x v="2"/>
    <n v="4"/>
    <n v="328"/>
    <x v="146"/>
  </r>
  <r>
    <x v="149"/>
    <x v="41"/>
    <x v="3"/>
    <x v="1"/>
    <x v="1"/>
    <n v="4"/>
    <n v="865"/>
    <x v="147"/>
  </r>
  <r>
    <x v="150"/>
    <x v="17"/>
    <x v="1"/>
    <x v="6"/>
    <x v="2"/>
    <n v="9"/>
    <n v="237"/>
    <x v="148"/>
  </r>
  <r>
    <x v="151"/>
    <x v="9"/>
    <x v="0"/>
    <x v="0"/>
    <x v="0"/>
    <n v="6"/>
    <n v="438"/>
    <x v="149"/>
  </r>
  <r>
    <x v="152"/>
    <x v="7"/>
    <x v="0"/>
    <x v="2"/>
    <x v="2"/>
    <n v="4"/>
    <n v="528"/>
    <x v="150"/>
  </r>
  <r>
    <x v="153"/>
    <x v="57"/>
    <x v="3"/>
    <x v="0"/>
    <x v="0"/>
    <n v="7"/>
    <n v="719"/>
    <x v="151"/>
  </r>
  <r>
    <x v="154"/>
    <x v="24"/>
    <x v="2"/>
    <x v="1"/>
    <x v="1"/>
    <n v="5"/>
    <n v="207"/>
    <x v="114"/>
  </r>
  <r>
    <x v="155"/>
    <x v="47"/>
    <x v="0"/>
    <x v="1"/>
    <x v="1"/>
    <n v="7"/>
    <n v="271"/>
    <x v="152"/>
  </r>
  <r>
    <x v="156"/>
    <x v="21"/>
    <x v="3"/>
    <x v="3"/>
    <x v="0"/>
    <n v="7"/>
    <n v="717"/>
    <x v="153"/>
  </r>
  <r>
    <x v="157"/>
    <x v="7"/>
    <x v="3"/>
    <x v="3"/>
    <x v="0"/>
    <n v="5"/>
    <n v="145"/>
    <x v="154"/>
  </r>
  <r>
    <x v="158"/>
    <x v="55"/>
    <x v="3"/>
    <x v="2"/>
    <x v="2"/>
    <n v="7"/>
    <n v="234"/>
    <x v="48"/>
  </r>
  <r>
    <x v="159"/>
    <x v="39"/>
    <x v="3"/>
    <x v="5"/>
    <x v="2"/>
    <n v="6"/>
    <n v="852"/>
    <x v="155"/>
  </r>
  <r>
    <x v="160"/>
    <x v="26"/>
    <x v="1"/>
    <x v="1"/>
    <x v="1"/>
    <n v="10"/>
    <n v="594"/>
    <x v="156"/>
  </r>
  <r>
    <x v="161"/>
    <x v="31"/>
    <x v="1"/>
    <x v="4"/>
    <x v="2"/>
    <n v="9"/>
    <n v="264"/>
    <x v="157"/>
  </r>
  <r>
    <x v="162"/>
    <x v="52"/>
    <x v="1"/>
    <x v="0"/>
    <x v="0"/>
    <n v="8"/>
    <n v="593"/>
    <x v="158"/>
  </r>
  <r>
    <x v="163"/>
    <x v="52"/>
    <x v="1"/>
    <x v="4"/>
    <x v="2"/>
    <n v="8"/>
    <n v="692"/>
    <x v="159"/>
  </r>
  <r>
    <x v="164"/>
    <x v="4"/>
    <x v="2"/>
    <x v="3"/>
    <x v="0"/>
    <n v="6"/>
    <n v="676"/>
    <x v="160"/>
  </r>
  <r>
    <x v="165"/>
    <x v="33"/>
    <x v="1"/>
    <x v="3"/>
    <x v="0"/>
    <n v="1"/>
    <n v="681"/>
    <x v="161"/>
  </r>
  <r>
    <x v="166"/>
    <x v="30"/>
    <x v="0"/>
    <x v="3"/>
    <x v="0"/>
    <n v="1"/>
    <n v="590"/>
    <x v="69"/>
  </r>
  <r>
    <x v="167"/>
    <x v="34"/>
    <x v="2"/>
    <x v="5"/>
    <x v="2"/>
    <n v="9"/>
    <n v="310"/>
    <x v="162"/>
  </r>
  <r>
    <x v="168"/>
    <x v="14"/>
    <x v="2"/>
    <x v="5"/>
    <x v="2"/>
    <n v="1"/>
    <n v="787"/>
    <x v="163"/>
  </r>
  <r>
    <x v="169"/>
    <x v="50"/>
    <x v="3"/>
    <x v="5"/>
    <x v="2"/>
    <n v="10"/>
    <n v="123"/>
    <x v="164"/>
  </r>
  <r>
    <x v="170"/>
    <x v="10"/>
    <x v="2"/>
    <x v="1"/>
    <x v="1"/>
    <n v="8"/>
    <n v="37"/>
    <x v="165"/>
  </r>
  <r>
    <x v="171"/>
    <x v="13"/>
    <x v="3"/>
    <x v="6"/>
    <x v="2"/>
    <n v="1"/>
    <n v="139"/>
    <x v="166"/>
  </r>
  <r>
    <x v="172"/>
    <x v="51"/>
    <x v="1"/>
    <x v="0"/>
    <x v="0"/>
    <n v="10"/>
    <n v="169"/>
    <x v="167"/>
  </r>
  <r>
    <x v="173"/>
    <x v="7"/>
    <x v="2"/>
    <x v="5"/>
    <x v="2"/>
    <n v="1"/>
    <n v="117"/>
    <x v="168"/>
  </r>
  <r>
    <x v="174"/>
    <x v="8"/>
    <x v="0"/>
    <x v="1"/>
    <x v="1"/>
    <n v="7"/>
    <n v="371"/>
    <x v="169"/>
  </r>
  <r>
    <x v="175"/>
    <x v="0"/>
    <x v="1"/>
    <x v="1"/>
    <x v="1"/>
    <n v="5"/>
    <n v="240"/>
    <x v="170"/>
  </r>
  <r>
    <x v="176"/>
    <x v="20"/>
    <x v="2"/>
    <x v="4"/>
    <x v="2"/>
    <n v="3"/>
    <n v="748"/>
    <x v="171"/>
  </r>
  <r>
    <x v="177"/>
    <x v="15"/>
    <x v="3"/>
    <x v="3"/>
    <x v="0"/>
    <n v="1"/>
    <n v="798"/>
    <x v="172"/>
  </r>
  <r>
    <x v="178"/>
    <x v="6"/>
    <x v="3"/>
    <x v="0"/>
    <x v="0"/>
    <n v="10"/>
    <n v="361"/>
    <x v="173"/>
  </r>
  <r>
    <x v="179"/>
    <x v="31"/>
    <x v="1"/>
    <x v="2"/>
    <x v="2"/>
    <n v="6"/>
    <n v="68"/>
    <x v="174"/>
  </r>
  <r>
    <x v="180"/>
    <x v="31"/>
    <x v="3"/>
    <x v="4"/>
    <x v="2"/>
    <n v="3"/>
    <n v="672"/>
    <x v="175"/>
  </r>
  <r>
    <x v="181"/>
    <x v="5"/>
    <x v="2"/>
    <x v="3"/>
    <x v="0"/>
    <n v="6"/>
    <n v="309"/>
    <x v="176"/>
  </r>
  <r>
    <x v="182"/>
    <x v="25"/>
    <x v="3"/>
    <x v="6"/>
    <x v="2"/>
    <n v="8"/>
    <n v="346"/>
    <x v="177"/>
  </r>
  <r>
    <x v="183"/>
    <x v="48"/>
    <x v="3"/>
    <x v="6"/>
    <x v="2"/>
    <n v="2"/>
    <n v="200"/>
    <x v="122"/>
  </r>
  <r>
    <x v="184"/>
    <x v="29"/>
    <x v="2"/>
    <x v="4"/>
    <x v="2"/>
    <n v="1"/>
    <n v="818"/>
    <x v="178"/>
  </r>
  <r>
    <x v="185"/>
    <x v="58"/>
    <x v="2"/>
    <x v="1"/>
    <x v="1"/>
    <n v="4"/>
    <n v="81"/>
    <x v="179"/>
  </r>
  <r>
    <x v="186"/>
    <x v="59"/>
    <x v="2"/>
    <x v="6"/>
    <x v="2"/>
    <n v="7"/>
    <n v="399"/>
    <x v="180"/>
  </r>
  <r>
    <x v="187"/>
    <x v="15"/>
    <x v="1"/>
    <x v="1"/>
    <x v="1"/>
    <n v="10"/>
    <n v="890"/>
    <x v="181"/>
  </r>
  <r>
    <x v="188"/>
    <x v="39"/>
    <x v="1"/>
    <x v="2"/>
    <x v="2"/>
    <n v="5"/>
    <n v="475"/>
    <x v="182"/>
  </r>
  <r>
    <x v="189"/>
    <x v="43"/>
    <x v="3"/>
    <x v="2"/>
    <x v="2"/>
    <n v="10"/>
    <n v="564"/>
    <x v="183"/>
  </r>
  <r>
    <x v="190"/>
    <x v="2"/>
    <x v="2"/>
    <x v="4"/>
    <x v="2"/>
    <n v="10"/>
    <n v="580"/>
    <x v="184"/>
  </r>
  <r>
    <x v="191"/>
    <x v="12"/>
    <x v="3"/>
    <x v="6"/>
    <x v="2"/>
    <n v="4"/>
    <n v="693"/>
    <x v="103"/>
  </r>
  <r>
    <x v="192"/>
    <x v="30"/>
    <x v="2"/>
    <x v="0"/>
    <x v="0"/>
    <n v="7"/>
    <n v="233"/>
    <x v="185"/>
  </r>
  <r>
    <x v="193"/>
    <x v="27"/>
    <x v="0"/>
    <x v="5"/>
    <x v="2"/>
    <n v="2"/>
    <n v="655"/>
    <x v="29"/>
  </r>
  <r>
    <x v="194"/>
    <x v="31"/>
    <x v="3"/>
    <x v="5"/>
    <x v="2"/>
    <n v="5"/>
    <n v="408"/>
    <x v="186"/>
  </r>
  <r>
    <x v="195"/>
    <x v="11"/>
    <x v="3"/>
    <x v="6"/>
    <x v="2"/>
    <n v="10"/>
    <n v="49"/>
    <x v="187"/>
  </r>
  <r>
    <x v="196"/>
    <x v="18"/>
    <x v="0"/>
    <x v="3"/>
    <x v="0"/>
    <n v="6"/>
    <n v="125"/>
    <x v="188"/>
  </r>
  <r>
    <x v="197"/>
    <x v="16"/>
    <x v="0"/>
    <x v="0"/>
    <x v="0"/>
    <n v="4"/>
    <n v="363"/>
    <x v="189"/>
  </r>
  <r>
    <x v="198"/>
    <x v="6"/>
    <x v="1"/>
    <x v="3"/>
    <x v="0"/>
    <n v="5"/>
    <n v="611"/>
    <x v="190"/>
  </r>
  <r>
    <x v="199"/>
    <x v="47"/>
    <x v="2"/>
    <x v="5"/>
    <x v="2"/>
    <n v="2"/>
    <n v="636"/>
    <x v="1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n v="852"/>
  </r>
  <r>
    <s v="ORD0002"/>
    <d v="2025-01-29T00:00:00"/>
    <x v="1"/>
    <x v="1"/>
    <x v="1"/>
    <n v="4"/>
    <n v="890"/>
    <n v="3560"/>
  </r>
  <r>
    <s v="ORD0003"/>
    <d v="2025-02-13T00:00:00"/>
    <x v="0"/>
    <x v="0"/>
    <x v="0"/>
    <n v="10"/>
    <n v="786"/>
    <n v="7860"/>
  </r>
  <r>
    <s v="ORD0004"/>
    <d v="2025-01-05T00:00:00"/>
    <x v="0"/>
    <x v="2"/>
    <x v="2"/>
    <n v="2"/>
    <n v="20"/>
    <n v="40"/>
  </r>
  <r>
    <s v="ORD0005"/>
    <d v="2025-02-04T00:00:00"/>
    <x v="0"/>
    <x v="2"/>
    <x v="2"/>
    <n v="1"/>
    <n v="74"/>
    <n v="74"/>
  </r>
  <r>
    <s v="ORD0006"/>
    <d v="2025-02-23T00:00:00"/>
    <x v="0"/>
    <x v="1"/>
    <x v="1"/>
    <n v="4"/>
    <n v="486"/>
    <n v="1944"/>
  </r>
  <r>
    <s v="ORD0007"/>
    <d v="2025-01-23T00:00:00"/>
    <x v="0"/>
    <x v="0"/>
    <x v="0"/>
    <n v="1"/>
    <n v="560"/>
    <n v="560"/>
  </r>
  <r>
    <s v="ORD0008"/>
    <d v="2025-02-27T00:00:00"/>
    <x v="1"/>
    <x v="3"/>
    <x v="0"/>
    <n v="2"/>
    <n v="737"/>
    <n v="1474"/>
  </r>
  <r>
    <s v="ORD0009"/>
    <d v="2025-01-02T00:00:00"/>
    <x v="2"/>
    <x v="0"/>
    <x v="0"/>
    <n v="1"/>
    <n v="647"/>
    <n v="647"/>
  </r>
  <r>
    <s v="ORD0010"/>
    <d v="2025-02-14T00:00:00"/>
    <x v="0"/>
    <x v="4"/>
    <x v="2"/>
    <n v="6"/>
    <n v="681"/>
    <n v="4086"/>
  </r>
  <r>
    <s v="ORD0011"/>
    <d v="2025-02-15T00:00:00"/>
    <x v="3"/>
    <x v="5"/>
    <x v="2"/>
    <n v="7"/>
    <n v="429"/>
    <n v="3003"/>
  </r>
  <r>
    <s v="ORD0012"/>
    <d v="2025-01-22T00:00:00"/>
    <x v="2"/>
    <x v="6"/>
    <x v="2"/>
    <n v="7"/>
    <n v="194"/>
    <n v="1358"/>
  </r>
  <r>
    <s v="ORD0013"/>
    <d v="2025-02-23T00:00:00"/>
    <x v="0"/>
    <x v="3"/>
    <x v="0"/>
    <n v="4"/>
    <n v="503"/>
    <n v="2012"/>
  </r>
  <r>
    <s v="ORD0014"/>
    <d v="2025-02-03T00:00:00"/>
    <x v="1"/>
    <x v="2"/>
    <x v="2"/>
    <n v="2"/>
    <n v="21"/>
    <n v="42"/>
  </r>
  <r>
    <s v="ORD0015"/>
    <d v="2025-02-05T00:00:00"/>
    <x v="3"/>
    <x v="2"/>
    <x v="2"/>
    <n v="6"/>
    <n v="511"/>
    <n v="3066"/>
  </r>
  <r>
    <s v="ORD0016"/>
    <d v="2025-02-26T00:00:00"/>
    <x v="0"/>
    <x v="3"/>
    <x v="0"/>
    <n v="6"/>
    <n v="235"/>
    <n v="1410"/>
  </r>
  <r>
    <s v="ORD0017"/>
    <d v="2025-02-01T00:00:00"/>
    <x v="1"/>
    <x v="0"/>
    <x v="0"/>
    <n v="6"/>
    <n v="646"/>
    <n v="3876"/>
  </r>
  <r>
    <s v="ORD0018"/>
    <d v="2025-01-22T00:00:00"/>
    <x v="3"/>
    <x v="2"/>
    <x v="2"/>
    <n v="1"/>
    <n v="375"/>
    <n v="375"/>
  </r>
  <r>
    <s v="ORD0019"/>
    <d v="2025-02-05T00:00:00"/>
    <x v="2"/>
    <x v="3"/>
    <x v="0"/>
    <n v="4"/>
    <n v="474"/>
    <n v="1896"/>
  </r>
  <r>
    <s v="ORD0020"/>
    <d v="2025-02-11T00:00:00"/>
    <x v="0"/>
    <x v="0"/>
    <x v="0"/>
    <n v="5"/>
    <n v="649"/>
    <n v="3245"/>
  </r>
  <r>
    <s v="ORD0021"/>
    <d v="2025-02-27T00:00:00"/>
    <x v="0"/>
    <x v="3"/>
    <x v="0"/>
    <n v="10"/>
    <n v="710"/>
    <n v="7100"/>
  </r>
  <r>
    <s v="ORD0022"/>
    <d v="2025-01-19T00:00:00"/>
    <x v="3"/>
    <x v="1"/>
    <x v="1"/>
    <n v="7"/>
    <n v="896"/>
    <n v="6272"/>
  </r>
  <r>
    <s v="ORD0023"/>
    <d v="2025-01-15T00:00:00"/>
    <x v="3"/>
    <x v="1"/>
    <x v="1"/>
    <n v="1"/>
    <n v="899"/>
    <n v="899"/>
  </r>
  <r>
    <s v="ORD0024"/>
    <d v="2025-01-23T00:00:00"/>
    <x v="3"/>
    <x v="5"/>
    <x v="2"/>
    <n v="8"/>
    <n v="457"/>
    <n v="3656"/>
  </r>
  <r>
    <s v="ORD0025"/>
    <d v="2025-01-23T00:00:00"/>
    <x v="3"/>
    <x v="1"/>
    <x v="1"/>
    <n v="9"/>
    <n v="587"/>
    <n v="5283"/>
  </r>
  <r>
    <s v="ORD0026"/>
    <d v="2025-01-26T00:00:00"/>
    <x v="1"/>
    <x v="1"/>
    <x v="1"/>
    <n v="4"/>
    <n v="420"/>
    <n v="1680"/>
  </r>
  <r>
    <s v="ORD0027"/>
    <d v="2025-02-18T00:00:00"/>
    <x v="2"/>
    <x v="0"/>
    <x v="0"/>
    <n v="4"/>
    <n v="761"/>
    <n v="3044"/>
  </r>
  <r>
    <s v="ORD0028"/>
    <d v="2025-01-09T00:00:00"/>
    <x v="2"/>
    <x v="1"/>
    <x v="1"/>
    <n v="3"/>
    <n v="18"/>
    <n v="54"/>
  </r>
  <r>
    <s v="ORD0029"/>
    <d v="2025-02-21T00:00:00"/>
    <x v="1"/>
    <x v="4"/>
    <x v="2"/>
    <n v="3"/>
    <n v="351"/>
    <n v="1053"/>
  </r>
  <r>
    <s v="ORD0030"/>
    <d v="2025-01-25T00:00:00"/>
    <x v="2"/>
    <x v="2"/>
    <x v="2"/>
    <n v="10"/>
    <n v="131"/>
    <n v="1310"/>
  </r>
  <r>
    <s v="ORD0031"/>
    <d v="2025-03-01T00:00:00"/>
    <x v="0"/>
    <x v="3"/>
    <x v="0"/>
    <n v="4"/>
    <n v="240"/>
    <n v="960"/>
  </r>
  <r>
    <s v="ORD0032"/>
    <d v="2025-02-10T00:00:00"/>
    <x v="0"/>
    <x v="4"/>
    <x v="2"/>
    <n v="5"/>
    <n v="298"/>
    <n v="1490"/>
  </r>
  <r>
    <s v="ORD0033"/>
    <d v="2025-03-01T00:00:00"/>
    <x v="0"/>
    <x v="3"/>
    <x v="0"/>
    <n v="5"/>
    <n v="575"/>
    <n v="2875"/>
  </r>
  <r>
    <s v="ORD0034"/>
    <d v="2025-02-27T00:00:00"/>
    <x v="2"/>
    <x v="5"/>
    <x v="2"/>
    <n v="10"/>
    <n v="253"/>
    <n v="2530"/>
  </r>
  <r>
    <s v="ORD0035"/>
    <d v="2025-03-01T00:00:00"/>
    <x v="3"/>
    <x v="1"/>
    <x v="1"/>
    <n v="7"/>
    <n v="636"/>
    <n v="4452"/>
  </r>
  <r>
    <s v="ORD0036"/>
    <d v="2025-01-29T00:00:00"/>
    <x v="3"/>
    <x v="4"/>
    <x v="2"/>
    <n v="9"/>
    <n v="127"/>
    <n v="1143"/>
  </r>
  <r>
    <s v="ORD0037"/>
    <d v="2025-02-01T00:00:00"/>
    <x v="1"/>
    <x v="4"/>
    <x v="2"/>
    <n v="1"/>
    <n v="120"/>
    <n v="120"/>
  </r>
  <r>
    <s v="ORD0038"/>
    <d v="2025-02-03T00:00:00"/>
    <x v="2"/>
    <x v="1"/>
    <x v="1"/>
    <n v="9"/>
    <n v="241"/>
    <n v="2169"/>
  </r>
  <r>
    <s v="ORD0039"/>
    <d v="2025-01-05T00:00:00"/>
    <x v="3"/>
    <x v="3"/>
    <x v="0"/>
    <n v="1"/>
    <n v="284"/>
    <n v="284"/>
  </r>
  <r>
    <s v="ORD0040"/>
    <d v="2025-02-22T00:00:00"/>
    <x v="3"/>
    <x v="0"/>
    <x v="0"/>
    <n v="5"/>
    <n v="694"/>
    <n v="3470"/>
  </r>
  <r>
    <s v="ORD0041"/>
    <d v="2025-02-21T00:00:00"/>
    <x v="1"/>
    <x v="6"/>
    <x v="2"/>
    <n v="10"/>
    <n v="216"/>
    <n v="2160"/>
  </r>
  <r>
    <s v="ORD0042"/>
    <d v="2025-02-22T00:00:00"/>
    <x v="2"/>
    <x v="0"/>
    <x v="0"/>
    <n v="10"/>
    <n v="806"/>
    <n v="8060"/>
  </r>
  <r>
    <s v="ORD0043"/>
    <d v="2025-01-12T00:00:00"/>
    <x v="2"/>
    <x v="4"/>
    <x v="2"/>
    <n v="3"/>
    <n v="336"/>
    <n v="1008"/>
  </r>
  <r>
    <s v="ORD0044"/>
    <d v="2025-01-21T00:00:00"/>
    <x v="3"/>
    <x v="2"/>
    <x v="2"/>
    <n v="7"/>
    <n v="269"/>
    <n v="1883"/>
  </r>
  <r>
    <s v="ORD0045"/>
    <d v="2025-01-12T00:00:00"/>
    <x v="2"/>
    <x v="4"/>
    <x v="2"/>
    <n v="2"/>
    <n v="784"/>
    <n v="1568"/>
  </r>
  <r>
    <s v="ORD0046"/>
    <d v="2025-01-11T00:00:00"/>
    <x v="0"/>
    <x v="2"/>
    <x v="2"/>
    <n v="5"/>
    <n v="282"/>
    <n v="1410"/>
  </r>
  <r>
    <s v="ORD0047"/>
    <d v="2025-02-19T00:00:00"/>
    <x v="0"/>
    <x v="3"/>
    <x v="0"/>
    <n v="8"/>
    <n v="125"/>
    <n v="1000"/>
  </r>
  <r>
    <s v="ORD0048"/>
    <d v="2025-01-08T00:00:00"/>
    <x v="3"/>
    <x v="2"/>
    <x v="2"/>
    <n v="10"/>
    <n v="150"/>
    <n v="1500"/>
  </r>
  <r>
    <s v="ORD0049"/>
    <d v="2025-03-02T00:00:00"/>
    <x v="2"/>
    <x v="2"/>
    <x v="2"/>
    <n v="1"/>
    <n v="428"/>
    <n v="428"/>
  </r>
  <r>
    <s v="ORD0050"/>
    <d v="2025-02-05T00:00:00"/>
    <x v="0"/>
    <x v="2"/>
    <x v="2"/>
    <n v="9"/>
    <n v="182"/>
    <n v="1638"/>
  </r>
  <r>
    <s v="ORD0051"/>
    <d v="2025-02-06T00:00:00"/>
    <x v="0"/>
    <x v="0"/>
    <x v="0"/>
    <n v="8"/>
    <n v="878"/>
    <n v="7024"/>
  </r>
  <r>
    <s v="ORD0052"/>
    <d v="2025-02-16T00:00:00"/>
    <x v="3"/>
    <x v="5"/>
    <x v="2"/>
    <n v="4"/>
    <n v="31"/>
    <n v="124"/>
  </r>
  <r>
    <s v="ORD0053"/>
    <d v="2025-01-08T00:00:00"/>
    <x v="0"/>
    <x v="4"/>
    <x v="2"/>
    <n v="9"/>
    <n v="159"/>
    <n v="1431"/>
  </r>
  <r>
    <s v="ORD0054"/>
    <d v="2025-01-03T00:00:00"/>
    <x v="2"/>
    <x v="2"/>
    <x v="2"/>
    <n v="10"/>
    <n v="259"/>
    <n v="2590"/>
  </r>
  <r>
    <s v="ORD0055"/>
    <d v="2025-02-06T00:00:00"/>
    <x v="0"/>
    <x v="3"/>
    <x v="0"/>
    <n v="3"/>
    <n v="427"/>
    <n v="1281"/>
  </r>
  <r>
    <s v="ORD0056"/>
    <d v="2025-02-04T00:00:00"/>
    <x v="0"/>
    <x v="4"/>
    <x v="2"/>
    <n v="8"/>
    <n v="105"/>
    <n v="840"/>
  </r>
  <r>
    <s v="ORD0057"/>
    <d v="2025-01-10T00:00:00"/>
    <x v="2"/>
    <x v="2"/>
    <x v="2"/>
    <n v="8"/>
    <n v="276"/>
    <n v="2208"/>
  </r>
  <r>
    <s v="ORD0058"/>
    <d v="2025-02-27T00:00:00"/>
    <x v="3"/>
    <x v="3"/>
    <x v="0"/>
    <n v="1"/>
    <n v="76"/>
    <n v="76"/>
  </r>
  <r>
    <s v="ORD0059"/>
    <d v="2025-02-02T00:00:00"/>
    <x v="0"/>
    <x v="4"/>
    <x v="2"/>
    <n v="9"/>
    <n v="49"/>
    <n v="441"/>
  </r>
  <r>
    <s v="ORD0060"/>
    <d v="2025-01-31T00:00:00"/>
    <x v="2"/>
    <x v="3"/>
    <x v="0"/>
    <n v="2"/>
    <n v="823"/>
    <n v="1646"/>
  </r>
  <r>
    <s v="ORD0061"/>
    <d v="2025-02-17T00:00:00"/>
    <x v="1"/>
    <x v="6"/>
    <x v="2"/>
    <n v="5"/>
    <n v="149"/>
    <n v="745"/>
  </r>
  <r>
    <s v="ORD0062"/>
    <d v="2025-01-06T00:00:00"/>
    <x v="1"/>
    <x v="1"/>
    <x v="1"/>
    <n v="7"/>
    <n v="790"/>
    <n v="5530"/>
  </r>
  <r>
    <s v="ORD0063"/>
    <d v="2025-02-16T00:00:00"/>
    <x v="0"/>
    <x v="4"/>
    <x v="2"/>
    <n v="8"/>
    <n v="840"/>
    <n v="6720"/>
  </r>
  <r>
    <s v="ORD0064"/>
    <d v="2025-02-04T00:00:00"/>
    <x v="1"/>
    <x v="1"/>
    <x v="1"/>
    <n v="1"/>
    <n v="382"/>
    <n v="382"/>
  </r>
  <r>
    <s v="ORD0065"/>
    <d v="2025-02-25T00:00:00"/>
    <x v="0"/>
    <x v="1"/>
    <x v="1"/>
    <n v="2"/>
    <n v="460"/>
    <n v="920"/>
  </r>
  <r>
    <s v="ORD0066"/>
    <d v="2025-01-28T00:00:00"/>
    <x v="2"/>
    <x v="0"/>
    <x v="0"/>
    <n v="6"/>
    <n v="38"/>
    <n v="228"/>
  </r>
  <r>
    <s v="ORD0067"/>
    <d v="2025-02-13T00:00:00"/>
    <x v="2"/>
    <x v="4"/>
    <x v="2"/>
    <n v="3"/>
    <n v="762"/>
    <n v="2286"/>
  </r>
  <r>
    <s v="ORD0068"/>
    <d v="2025-01-24T00:00:00"/>
    <x v="2"/>
    <x v="2"/>
    <x v="2"/>
    <n v="2"/>
    <n v="96"/>
    <n v="192"/>
  </r>
  <r>
    <s v="ORD0069"/>
    <d v="2025-01-20T00:00:00"/>
    <x v="2"/>
    <x v="6"/>
    <x v="2"/>
    <n v="1"/>
    <n v="685"/>
    <n v="685"/>
  </r>
  <r>
    <s v="ORD0070"/>
    <d v="2025-02-26T00:00:00"/>
    <x v="2"/>
    <x v="6"/>
    <x v="2"/>
    <n v="1"/>
    <n v="44"/>
    <n v="44"/>
  </r>
  <r>
    <s v="ORD0071"/>
    <d v="2025-01-13T00:00:00"/>
    <x v="1"/>
    <x v="1"/>
    <x v="1"/>
    <n v="2"/>
    <n v="295"/>
    <n v="590"/>
  </r>
  <r>
    <s v="ORD0072"/>
    <d v="2025-02-16T00:00:00"/>
    <x v="3"/>
    <x v="3"/>
    <x v="0"/>
    <n v="8"/>
    <n v="292"/>
    <n v="2336"/>
  </r>
  <r>
    <s v="ORD0073"/>
    <d v="2025-02-14T00:00:00"/>
    <x v="1"/>
    <x v="2"/>
    <x v="2"/>
    <n v="3"/>
    <n v="70"/>
    <n v="210"/>
  </r>
  <r>
    <s v="ORD0074"/>
    <d v="2025-01-04T00:00:00"/>
    <x v="2"/>
    <x v="0"/>
    <x v="0"/>
    <n v="5"/>
    <n v="656"/>
    <n v="3280"/>
  </r>
  <r>
    <s v="ORD0075"/>
    <d v="2025-01-02T00:00:00"/>
    <x v="2"/>
    <x v="5"/>
    <x v="2"/>
    <n v="3"/>
    <n v="452"/>
    <n v="1356"/>
  </r>
  <r>
    <s v="ORD0076"/>
    <d v="2025-01-14T00:00:00"/>
    <x v="1"/>
    <x v="2"/>
    <x v="2"/>
    <n v="5"/>
    <n v="391"/>
    <n v="1955"/>
  </r>
  <r>
    <s v="ORD0077"/>
    <d v="2025-02-16T00:00:00"/>
    <x v="1"/>
    <x v="2"/>
    <x v="2"/>
    <n v="2"/>
    <n v="290"/>
    <n v="580"/>
  </r>
  <r>
    <s v="ORD0078"/>
    <d v="2025-01-10T00:00:00"/>
    <x v="0"/>
    <x v="0"/>
    <x v="0"/>
    <n v="6"/>
    <n v="855"/>
    <n v="5130"/>
  </r>
  <r>
    <s v="ORD0079"/>
    <d v="2025-01-01T00:00:00"/>
    <x v="0"/>
    <x v="4"/>
    <x v="2"/>
    <n v="4"/>
    <n v="295"/>
    <n v="1180"/>
  </r>
  <r>
    <s v="ORD0080"/>
    <d v="2025-02-27T00:00:00"/>
    <x v="3"/>
    <x v="5"/>
    <x v="2"/>
    <n v="4"/>
    <n v="824"/>
    <n v="3296"/>
  </r>
  <r>
    <s v="ORD0081"/>
    <d v="2025-01-26T00:00:00"/>
    <x v="2"/>
    <x v="2"/>
    <x v="2"/>
    <n v="1"/>
    <n v="715"/>
    <n v="715"/>
  </r>
  <r>
    <s v="ORD0082"/>
    <d v="2025-01-23T00:00:00"/>
    <x v="0"/>
    <x v="4"/>
    <x v="2"/>
    <n v="5"/>
    <n v="380"/>
    <n v="1900"/>
  </r>
  <r>
    <s v="ORD0083"/>
    <d v="2025-01-16T00:00:00"/>
    <x v="1"/>
    <x v="6"/>
    <x v="2"/>
    <n v="9"/>
    <n v="209"/>
    <n v="1881"/>
  </r>
  <r>
    <s v="ORD0084"/>
    <d v="2025-01-23T00:00:00"/>
    <x v="0"/>
    <x v="2"/>
    <x v="2"/>
    <n v="10"/>
    <n v="724"/>
    <n v="7240"/>
  </r>
  <r>
    <s v="ORD0085"/>
    <d v="2025-01-12T00:00:00"/>
    <x v="1"/>
    <x v="5"/>
    <x v="2"/>
    <n v="6"/>
    <n v="780"/>
    <n v="4680"/>
  </r>
  <r>
    <s v="ORD0086"/>
    <d v="2025-02-25T00:00:00"/>
    <x v="1"/>
    <x v="0"/>
    <x v="0"/>
    <n v="6"/>
    <n v="239"/>
    <n v="1434"/>
  </r>
  <r>
    <s v="ORD0087"/>
    <d v="2025-01-25T00:00:00"/>
    <x v="0"/>
    <x v="4"/>
    <x v="2"/>
    <n v="9"/>
    <n v="297"/>
    <n v="2673"/>
  </r>
  <r>
    <s v="ORD0088"/>
    <d v="2025-01-08T00:00:00"/>
    <x v="1"/>
    <x v="6"/>
    <x v="2"/>
    <n v="7"/>
    <n v="473"/>
    <n v="3311"/>
  </r>
  <r>
    <s v="ORD0089"/>
    <d v="2025-02-14T00:00:00"/>
    <x v="2"/>
    <x v="5"/>
    <x v="2"/>
    <n v="8"/>
    <n v="899"/>
    <n v="7192"/>
  </r>
  <r>
    <s v="ORD0090"/>
    <d v="2025-01-04T00:00:00"/>
    <x v="3"/>
    <x v="5"/>
    <x v="2"/>
    <n v="7"/>
    <n v="71"/>
    <n v="497"/>
  </r>
  <r>
    <s v="ORD0091"/>
    <d v="2025-02-26T00:00:00"/>
    <x v="3"/>
    <x v="6"/>
    <x v="2"/>
    <n v="1"/>
    <n v="684"/>
    <n v="684"/>
  </r>
  <r>
    <s v="ORD0092"/>
    <d v="2025-01-01T00:00:00"/>
    <x v="1"/>
    <x v="1"/>
    <x v="1"/>
    <n v="6"/>
    <n v="284"/>
    <n v="1704"/>
  </r>
  <r>
    <s v="ORD0093"/>
    <d v="2025-02-05T00:00:00"/>
    <x v="2"/>
    <x v="6"/>
    <x v="2"/>
    <n v="2"/>
    <n v="814"/>
    <n v="1628"/>
  </r>
  <r>
    <s v="ORD0094"/>
    <d v="2025-02-26T00:00:00"/>
    <x v="3"/>
    <x v="5"/>
    <x v="2"/>
    <n v="3"/>
    <n v="750"/>
    <n v="2250"/>
  </r>
  <r>
    <s v="ORD0095"/>
    <d v="2025-02-18T00:00:00"/>
    <x v="1"/>
    <x v="1"/>
    <x v="1"/>
    <n v="6"/>
    <n v="810"/>
    <n v="4860"/>
  </r>
  <r>
    <s v="ORD0096"/>
    <d v="2025-02-02T00:00:00"/>
    <x v="1"/>
    <x v="1"/>
    <x v="1"/>
    <n v="1"/>
    <n v="505"/>
    <n v="505"/>
  </r>
  <r>
    <s v="ORD0097"/>
    <d v="2025-01-19T00:00:00"/>
    <x v="3"/>
    <x v="4"/>
    <x v="2"/>
    <n v="4"/>
    <n v="257"/>
    <n v="1028"/>
  </r>
  <r>
    <s v="ORD0098"/>
    <d v="2025-02-02T00:00:00"/>
    <x v="2"/>
    <x v="2"/>
    <x v="2"/>
    <n v="6"/>
    <n v="300"/>
    <n v="1800"/>
  </r>
  <r>
    <s v="ORD0099"/>
    <d v="2025-01-16T00:00:00"/>
    <x v="2"/>
    <x v="2"/>
    <x v="2"/>
    <n v="6"/>
    <n v="65"/>
    <n v="390"/>
  </r>
  <r>
    <s v="ORD0100"/>
    <d v="2025-02-24T00:00:00"/>
    <x v="2"/>
    <x v="3"/>
    <x v="0"/>
    <n v="5"/>
    <n v="340"/>
    <n v="1700"/>
  </r>
  <r>
    <s v="ORD0101"/>
    <d v="2025-02-14T00:00:00"/>
    <x v="0"/>
    <x v="5"/>
    <x v="2"/>
    <n v="6"/>
    <n v="326"/>
    <n v="1956"/>
  </r>
  <r>
    <s v="ORD0102"/>
    <d v="2025-01-22T00:00:00"/>
    <x v="2"/>
    <x v="6"/>
    <x v="2"/>
    <n v="7"/>
    <n v="146"/>
    <n v="1022"/>
  </r>
  <r>
    <s v="ORD0103"/>
    <d v="2025-02-21T00:00:00"/>
    <x v="0"/>
    <x v="4"/>
    <x v="2"/>
    <n v="7"/>
    <n v="251"/>
    <n v="1757"/>
  </r>
  <r>
    <s v="ORD0104"/>
    <d v="2025-03-01T00:00:00"/>
    <x v="2"/>
    <x v="0"/>
    <x v="0"/>
    <n v="5"/>
    <n v="303"/>
    <n v="1515"/>
  </r>
  <r>
    <s v="ORD0105"/>
    <d v="2025-02-27T00:00:00"/>
    <x v="1"/>
    <x v="1"/>
    <x v="1"/>
    <n v="7"/>
    <n v="396"/>
    <n v="2772"/>
  </r>
  <r>
    <s v="ORD0106"/>
    <d v="2025-02-27T00:00:00"/>
    <x v="1"/>
    <x v="3"/>
    <x v="0"/>
    <n v="10"/>
    <n v="46"/>
    <n v="460"/>
  </r>
  <r>
    <s v="ORD0107"/>
    <d v="2025-02-03T00:00:00"/>
    <x v="2"/>
    <x v="5"/>
    <x v="2"/>
    <n v="8"/>
    <n v="873"/>
    <n v="6984"/>
  </r>
  <r>
    <s v="ORD0108"/>
    <d v="2025-01-22T00:00:00"/>
    <x v="1"/>
    <x v="1"/>
    <x v="1"/>
    <n v="8"/>
    <n v="619"/>
    <n v="4952"/>
  </r>
  <r>
    <s v="ORD0109"/>
    <d v="2025-01-04T00:00:00"/>
    <x v="0"/>
    <x v="1"/>
    <x v="1"/>
    <n v="6"/>
    <n v="437"/>
    <n v="2622"/>
  </r>
  <r>
    <s v="ORD0110"/>
    <d v="2025-02-01T00:00:00"/>
    <x v="3"/>
    <x v="5"/>
    <x v="2"/>
    <n v="9"/>
    <n v="809"/>
    <n v="7281"/>
  </r>
  <r>
    <s v="ORD0111"/>
    <d v="2025-01-17T00:00:00"/>
    <x v="3"/>
    <x v="0"/>
    <x v="0"/>
    <n v="2"/>
    <n v="551"/>
    <n v="1102"/>
  </r>
  <r>
    <s v="ORD0112"/>
    <d v="2025-01-04T00:00:00"/>
    <x v="3"/>
    <x v="5"/>
    <x v="2"/>
    <n v="6"/>
    <n v="362"/>
    <n v="2172"/>
  </r>
  <r>
    <s v="ORD0113"/>
    <d v="2025-01-20T00:00:00"/>
    <x v="2"/>
    <x v="2"/>
    <x v="2"/>
    <n v="5"/>
    <n v="328"/>
    <n v="1640"/>
  </r>
  <r>
    <s v="ORD0114"/>
    <d v="2025-02-20T00:00:00"/>
    <x v="3"/>
    <x v="6"/>
    <x v="2"/>
    <n v="6"/>
    <n v="389"/>
    <n v="2334"/>
  </r>
  <r>
    <s v="ORD0115"/>
    <d v="2025-01-18T00:00:00"/>
    <x v="0"/>
    <x v="2"/>
    <x v="2"/>
    <n v="7"/>
    <n v="54"/>
    <n v="378"/>
  </r>
  <r>
    <s v="ORD0116"/>
    <d v="2025-02-13T00:00:00"/>
    <x v="0"/>
    <x v="3"/>
    <x v="0"/>
    <n v="3"/>
    <n v="345"/>
    <n v="1035"/>
  </r>
  <r>
    <s v="ORD0117"/>
    <d v="2025-02-16T00:00:00"/>
    <x v="1"/>
    <x v="6"/>
    <x v="2"/>
    <n v="9"/>
    <n v="863"/>
    <n v="7767"/>
  </r>
  <r>
    <s v="ORD0118"/>
    <d v="2025-02-23T00:00:00"/>
    <x v="3"/>
    <x v="1"/>
    <x v="1"/>
    <n v="6"/>
    <n v="311"/>
    <n v="1866"/>
  </r>
  <r>
    <s v="ORD0119"/>
    <d v="2025-01-15T00:00:00"/>
    <x v="2"/>
    <x v="1"/>
    <x v="1"/>
    <n v="9"/>
    <n v="417"/>
    <n v="3753"/>
  </r>
  <r>
    <s v="ORD0120"/>
    <d v="2025-02-11T00:00:00"/>
    <x v="3"/>
    <x v="0"/>
    <x v="0"/>
    <n v="1"/>
    <n v="747"/>
    <n v="747"/>
  </r>
  <r>
    <s v="ORD0121"/>
    <d v="2025-01-23T00:00:00"/>
    <x v="2"/>
    <x v="4"/>
    <x v="2"/>
    <n v="10"/>
    <n v="713"/>
    <n v="7130"/>
  </r>
  <r>
    <s v="ORD0122"/>
    <d v="2025-02-14T00:00:00"/>
    <x v="0"/>
    <x v="6"/>
    <x v="2"/>
    <n v="7"/>
    <n v="280"/>
    <n v="1960"/>
  </r>
  <r>
    <s v="ORD0123"/>
    <d v="2025-02-16T00:00:00"/>
    <x v="2"/>
    <x v="1"/>
    <x v="1"/>
    <n v="2"/>
    <n v="241"/>
    <n v="482"/>
  </r>
  <r>
    <s v="ORD0124"/>
    <d v="2025-01-18T00:00:00"/>
    <x v="2"/>
    <x v="6"/>
    <x v="2"/>
    <n v="10"/>
    <n v="40"/>
    <n v="400"/>
  </r>
  <r>
    <s v="ORD0125"/>
    <d v="2025-01-30T00:00:00"/>
    <x v="1"/>
    <x v="3"/>
    <x v="0"/>
    <n v="9"/>
    <n v="99"/>
    <n v="891"/>
  </r>
  <r>
    <s v="ORD0126"/>
    <d v="2025-01-05T00:00:00"/>
    <x v="3"/>
    <x v="1"/>
    <x v="1"/>
    <n v="9"/>
    <n v="307"/>
    <n v="2763"/>
  </r>
  <r>
    <s v="ORD0127"/>
    <d v="2025-02-27T00:00:00"/>
    <x v="3"/>
    <x v="5"/>
    <x v="2"/>
    <n v="3"/>
    <n v="682"/>
    <n v="2046"/>
  </r>
  <r>
    <s v="ORD0128"/>
    <d v="2025-01-31T00:00:00"/>
    <x v="2"/>
    <x v="5"/>
    <x v="2"/>
    <n v="3"/>
    <n v="544"/>
    <n v="1632"/>
  </r>
  <r>
    <s v="ORD0129"/>
    <d v="2025-01-30T00:00:00"/>
    <x v="0"/>
    <x v="5"/>
    <x v="2"/>
    <n v="5"/>
    <n v="141"/>
    <n v="705"/>
  </r>
  <r>
    <s v="ORD0130"/>
    <d v="2025-01-30T00:00:00"/>
    <x v="1"/>
    <x v="3"/>
    <x v="0"/>
    <n v="2"/>
    <n v="724"/>
    <n v="1448"/>
  </r>
  <r>
    <s v="ORD0131"/>
    <d v="2025-02-25T00:00:00"/>
    <x v="3"/>
    <x v="4"/>
    <x v="2"/>
    <n v="2"/>
    <n v="793"/>
    <n v="1586"/>
  </r>
  <r>
    <s v="ORD0132"/>
    <d v="2025-01-31T00:00:00"/>
    <x v="1"/>
    <x v="6"/>
    <x v="2"/>
    <n v="2"/>
    <n v="554"/>
    <n v="1108"/>
  </r>
  <r>
    <s v="ORD0133"/>
    <d v="2025-01-04T00:00:00"/>
    <x v="3"/>
    <x v="6"/>
    <x v="2"/>
    <n v="4"/>
    <n v="743"/>
    <n v="2972"/>
  </r>
  <r>
    <s v="ORD0134"/>
    <d v="2025-02-15T00:00:00"/>
    <x v="1"/>
    <x v="2"/>
    <x v="2"/>
    <n v="3"/>
    <n v="193"/>
    <n v="579"/>
  </r>
  <r>
    <s v="ORD0135"/>
    <d v="2025-02-19T00:00:00"/>
    <x v="0"/>
    <x v="6"/>
    <x v="2"/>
    <n v="1"/>
    <n v="851"/>
    <n v="851"/>
  </r>
  <r>
    <s v="ORD0136"/>
    <d v="2025-02-05T00:00:00"/>
    <x v="0"/>
    <x v="2"/>
    <x v="2"/>
    <n v="5"/>
    <n v="448"/>
    <n v="2240"/>
  </r>
  <r>
    <s v="ORD0137"/>
    <d v="2025-01-08T00:00:00"/>
    <x v="2"/>
    <x v="2"/>
    <x v="2"/>
    <n v="9"/>
    <n v="231"/>
    <n v="2079"/>
  </r>
  <r>
    <s v="ORD0138"/>
    <d v="2025-01-04T00:00:00"/>
    <x v="2"/>
    <x v="2"/>
    <x v="2"/>
    <n v="8"/>
    <n v="191"/>
    <n v="1528"/>
  </r>
  <r>
    <s v="ORD0139"/>
    <d v="2025-01-08T00:00:00"/>
    <x v="3"/>
    <x v="2"/>
    <x v="2"/>
    <n v="5"/>
    <n v="479"/>
    <n v="2395"/>
  </r>
  <r>
    <s v="ORD0140"/>
    <d v="2025-02-13T00:00:00"/>
    <x v="2"/>
    <x v="0"/>
    <x v="0"/>
    <n v="9"/>
    <n v="308"/>
    <n v="2772"/>
  </r>
  <r>
    <s v="ORD0141"/>
    <d v="2025-01-07T00:00:00"/>
    <x v="0"/>
    <x v="0"/>
    <x v="0"/>
    <n v="3"/>
    <n v="292"/>
    <n v="876"/>
  </r>
  <r>
    <s v="ORD0142"/>
    <d v="2025-01-03T00:00:00"/>
    <x v="1"/>
    <x v="0"/>
    <x v="0"/>
    <n v="5"/>
    <n v="493"/>
    <n v="2465"/>
  </r>
  <r>
    <s v="ORD0143"/>
    <d v="2025-01-28T00:00:00"/>
    <x v="2"/>
    <x v="3"/>
    <x v="0"/>
    <n v="2"/>
    <n v="645"/>
    <n v="1290"/>
  </r>
  <r>
    <s v="ORD0144"/>
    <d v="2025-02-13T00:00:00"/>
    <x v="2"/>
    <x v="4"/>
    <x v="2"/>
    <n v="7"/>
    <n v="851"/>
    <n v="5957"/>
  </r>
  <r>
    <s v="ORD0145"/>
    <d v="2025-02-11T00:00:00"/>
    <x v="0"/>
    <x v="1"/>
    <x v="1"/>
    <n v="8"/>
    <n v="497"/>
    <n v="3976"/>
  </r>
  <r>
    <s v="ORD0146"/>
    <d v="2025-02-12T00:00:00"/>
    <x v="0"/>
    <x v="3"/>
    <x v="0"/>
    <n v="2"/>
    <n v="722"/>
    <n v="1444"/>
  </r>
  <r>
    <s v="ORD0147"/>
    <d v="2025-01-02T00:00:00"/>
    <x v="1"/>
    <x v="1"/>
    <x v="1"/>
    <n v="3"/>
    <n v="332"/>
    <n v="996"/>
  </r>
  <r>
    <s v="ORD0148"/>
    <d v="2025-02-07T00:00:00"/>
    <x v="2"/>
    <x v="2"/>
    <x v="2"/>
    <n v="5"/>
    <n v="90"/>
    <n v="450"/>
  </r>
  <r>
    <s v="ORD0149"/>
    <d v="2025-01-13T00:00:00"/>
    <x v="3"/>
    <x v="6"/>
    <x v="2"/>
    <n v="4"/>
    <n v="328"/>
    <n v="1312"/>
  </r>
  <r>
    <s v="ORD0150"/>
    <d v="2025-02-25T00:00:00"/>
    <x v="3"/>
    <x v="1"/>
    <x v="1"/>
    <n v="4"/>
    <n v="865"/>
    <n v="3460"/>
  </r>
  <r>
    <s v="ORD0151"/>
    <d v="2025-01-19T00:00:00"/>
    <x v="1"/>
    <x v="6"/>
    <x v="2"/>
    <n v="9"/>
    <n v="237"/>
    <n v="2133"/>
  </r>
  <r>
    <s v="ORD0152"/>
    <d v="2025-02-14T00:00:00"/>
    <x v="0"/>
    <x v="0"/>
    <x v="0"/>
    <n v="6"/>
    <n v="438"/>
    <n v="2628"/>
  </r>
  <r>
    <s v="ORD0153"/>
    <d v="2025-02-27T00:00:00"/>
    <x v="0"/>
    <x v="2"/>
    <x v="2"/>
    <n v="4"/>
    <n v="528"/>
    <n v="2112"/>
  </r>
  <r>
    <s v="ORD0154"/>
    <d v="2025-01-27T00:00:00"/>
    <x v="3"/>
    <x v="0"/>
    <x v="0"/>
    <n v="7"/>
    <n v="719"/>
    <n v="5033"/>
  </r>
  <r>
    <s v="ORD0155"/>
    <d v="2025-03-01T00:00:00"/>
    <x v="2"/>
    <x v="1"/>
    <x v="1"/>
    <n v="5"/>
    <n v="207"/>
    <n v="1035"/>
  </r>
  <r>
    <s v="ORD0156"/>
    <d v="2025-01-01T00:00:00"/>
    <x v="0"/>
    <x v="1"/>
    <x v="1"/>
    <n v="7"/>
    <n v="271"/>
    <n v="1897"/>
  </r>
  <r>
    <s v="ORD0157"/>
    <d v="2025-01-09T00:00:00"/>
    <x v="3"/>
    <x v="3"/>
    <x v="0"/>
    <n v="7"/>
    <n v="717"/>
    <n v="5019"/>
  </r>
  <r>
    <s v="ORD0158"/>
    <d v="2025-02-27T00:00:00"/>
    <x v="3"/>
    <x v="3"/>
    <x v="0"/>
    <n v="5"/>
    <n v="145"/>
    <n v="725"/>
  </r>
  <r>
    <s v="ORD0159"/>
    <d v="2025-02-12T00:00:00"/>
    <x v="3"/>
    <x v="2"/>
    <x v="2"/>
    <n v="7"/>
    <n v="234"/>
    <n v="1638"/>
  </r>
  <r>
    <s v="ORD0160"/>
    <d v="2025-02-17T00:00:00"/>
    <x v="3"/>
    <x v="5"/>
    <x v="2"/>
    <n v="6"/>
    <n v="852"/>
    <n v="5112"/>
  </r>
  <r>
    <s v="ORD0161"/>
    <d v="2025-02-22T00:00:00"/>
    <x v="1"/>
    <x v="1"/>
    <x v="1"/>
    <n v="10"/>
    <n v="594"/>
    <n v="5940"/>
  </r>
  <r>
    <s v="ORD0162"/>
    <d v="2025-01-08T00:00:00"/>
    <x v="1"/>
    <x v="4"/>
    <x v="2"/>
    <n v="9"/>
    <n v="264"/>
    <n v="2376"/>
  </r>
  <r>
    <s v="ORD0163"/>
    <d v="2025-01-18T00:00:00"/>
    <x v="1"/>
    <x v="0"/>
    <x v="0"/>
    <n v="8"/>
    <n v="593"/>
    <n v="4744"/>
  </r>
  <r>
    <s v="ORD0164"/>
    <d v="2025-01-18T00:00:00"/>
    <x v="1"/>
    <x v="4"/>
    <x v="2"/>
    <n v="8"/>
    <n v="692"/>
    <n v="5536"/>
  </r>
  <r>
    <s v="ORD0165"/>
    <d v="2025-02-04T00:00:00"/>
    <x v="2"/>
    <x v="3"/>
    <x v="0"/>
    <n v="6"/>
    <n v="676"/>
    <n v="4056"/>
  </r>
  <r>
    <s v="ORD0166"/>
    <d v="2025-02-06T00:00:00"/>
    <x v="1"/>
    <x v="3"/>
    <x v="0"/>
    <n v="1"/>
    <n v="681"/>
    <n v="681"/>
  </r>
  <r>
    <s v="ORD0167"/>
    <d v="2025-02-19T00:00:00"/>
    <x v="0"/>
    <x v="3"/>
    <x v="0"/>
    <n v="1"/>
    <n v="590"/>
    <n v="590"/>
  </r>
  <r>
    <s v="ORD0168"/>
    <d v="2025-02-16T00:00:00"/>
    <x v="2"/>
    <x v="5"/>
    <x v="2"/>
    <n v="9"/>
    <n v="310"/>
    <n v="2790"/>
  </r>
  <r>
    <s v="ORD0169"/>
    <d v="2025-02-26T00:00:00"/>
    <x v="2"/>
    <x v="5"/>
    <x v="2"/>
    <n v="1"/>
    <n v="787"/>
    <n v="787"/>
  </r>
  <r>
    <s v="ORD0170"/>
    <d v="2025-01-17T00:00:00"/>
    <x v="3"/>
    <x v="5"/>
    <x v="2"/>
    <n v="10"/>
    <n v="123"/>
    <n v="1230"/>
  </r>
  <r>
    <s v="ORD0171"/>
    <d v="2025-02-15T00:00:00"/>
    <x v="2"/>
    <x v="1"/>
    <x v="1"/>
    <n v="8"/>
    <n v="37"/>
    <n v="296"/>
  </r>
  <r>
    <s v="ORD0172"/>
    <d v="2025-02-05T00:00:00"/>
    <x v="3"/>
    <x v="6"/>
    <x v="2"/>
    <n v="1"/>
    <n v="139"/>
    <n v="139"/>
  </r>
  <r>
    <s v="ORD0173"/>
    <d v="2025-02-20T00:00:00"/>
    <x v="1"/>
    <x v="0"/>
    <x v="0"/>
    <n v="10"/>
    <n v="169"/>
    <n v="1690"/>
  </r>
  <r>
    <s v="ORD0174"/>
    <d v="2025-02-27T00:00:00"/>
    <x v="2"/>
    <x v="5"/>
    <x v="2"/>
    <n v="1"/>
    <n v="117"/>
    <n v="117"/>
  </r>
  <r>
    <s v="ORD0175"/>
    <d v="2025-01-02T00:00:00"/>
    <x v="0"/>
    <x v="1"/>
    <x v="1"/>
    <n v="7"/>
    <n v="371"/>
    <n v="2597"/>
  </r>
  <r>
    <s v="ORD0176"/>
    <d v="2025-01-28T00:00:00"/>
    <x v="1"/>
    <x v="1"/>
    <x v="1"/>
    <n v="5"/>
    <n v="240"/>
    <n v="1200"/>
  </r>
  <r>
    <s v="ORD0177"/>
    <d v="2025-02-18T00:00:00"/>
    <x v="2"/>
    <x v="4"/>
    <x v="2"/>
    <n v="3"/>
    <n v="748"/>
    <n v="2244"/>
  </r>
  <r>
    <s v="ORD0178"/>
    <d v="2025-02-01T00:00:00"/>
    <x v="3"/>
    <x v="3"/>
    <x v="0"/>
    <n v="1"/>
    <n v="798"/>
    <n v="798"/>
  </r>
  <r>
    <s v="ORD0179"/>
    <d v="2025-01-23T00:00:00"/>
    <x v="3"/>
    <x v="0"/>
    <x v="0"/>
    <n v="10"/>
    <n v="361"/>
    <n v="3610"/>
  </r>
  <r>
    <s v="ORD0180"/>
    <d v="2025-01-08T00:00:00"/>
    <x v="1"/>
    <x v="2"/>
    <x v="2"/>
    <n v="6"/>
    <n v="68"/>
    <n v="408"/>
  </r>
  <r>
    <s v="ORD0181"/>
    <d v="2025-01-08T00:00:00"/>
    <x v="3"/>
    <x v="4"/>
    <x v="2"/>
    <n v="3"/>
    <n v="672"/>
    <n v="2016"/>
  </r>
  <r>
    <s v="ORD0182"/>
    <d v="2025-02-23T00:00:00"/>
    <x v="2"/>
    <x v="3"/>
    <x v="0"/>
    <n v="6"/>
    <n v="309"/>
    <n v="1854"/>
  </r>
  <r>
    <s v="ORD0183"/>
    <d v="2025-02-10T00:00:00"/>
    <x v="3"/>
    <x v="6"/>
    <x v="2"/>
    <n v="8"/>
    <n v="346"/>
    <n v="2768"/>
  </r>
  <r>
    <s v="ORD0184"/>
    <d v="2025-01-16T00:00:00"/>
    <x v="3"/>
    <x v="6"/>
    <x v="2"/>
    <n v="2"/>
    <n v="200"/>
    <n v="400"/>
  </r>
  <r>
    <s v="ORD0185"/>
    <d v="2025-01-11T00:00:00"/>
    <x v="2"/>
    <x v="4"/>
    <x v="2"/>
    <n v="1"/>
    <n v="818"/>
    <n v="818"/>
  </r>
  <r>
    <s v="ORD0186"/>
    <d v="2025-02-08T00:00:00"/>
    <x v="2"/>
    <x v="1"/>
    <x v="1"/>
    <n v="4"/>
    <n v="81"/>
    <n v="324"/>
  </r>
  <r>
    <s v="ORD0187"/>
    <d v="2025-02-09T00:00:00"/>
    <x v="2"/>
    <x v="6"/>
    <x v="2"/>
    <n v="7"/>
    <n v="399"/>
    <n v="2793"/>
  </r>
  <r>
    <s v="ORD0188"/>
    <d v="2025-02-01T00:00:00"/>
    <x v="1"/>
    <x v="1"/>
    <x v="1"/>
    <n v="10"/>
    <n v="890"/>
    <n v="8900"/>
  </r>
  <r>
    <s v="ORD0189"/>
    <d v="2025-02-17T00:00:00"/>
    <x v="1"/>
    <x v="2"/>
    <x v="2"/>
    <n v="5"/>
    <n v="475"/>
    <n v="2375"/>
  </r>
  <r>
    <s v="ORD0190"/>
    <d v="2025-01-20T00:00:00"/>
    <x v="3"/>
    <x v="2"/>
    <x v="2"/>
    <n v="10"/>
    <n v="564"/>
    <n v="5640"/>
  </r>
  <r>
    <s v="ORD0191"/>
    <d v="2025-02-13T00:00:00"/>
    <x v="2"/>
    <x v="4"/>
    <x v="2"/>
    <n v="10"/>
    <n v="580"/>
    <n v="5800"/>
  </r>
  <r>
    <s v="ORD0192"/>
    <d v="2025-02-03T00:00:00"/>
    <x v="3"/>
    <x v="6"/>
    <x v="2"/>
    <n v="4"/>
    <n v="693"/>
    <n v="2772"/>
  </r>
  <r>
    <s v="ORD0193"/>
    <d v="2025-02-19T00:00:00"/>
    <x v="2"/>
    <x v="0"/>
    <x v="0"/>
    <n v="7"/>
    <n v="233"/>
    <n v="1631"/>
  </r>
  <r>
    <s v="ORD0194"/>
    <d v="2025-01-12T00:00:00"/>
    <x v="0"/>
    <x v="5"/>
    <x v="2"/>
    <n v="2"/>
    <n v="655"/>
    <n v="1310"/>
  </r>
  <r>
    <s v="ORD0195"/>
    <d v="2025-01-08T00:00:00"/>
    <x v="3"/>
    <x v="5"/>
    <x v="2"/>
    <n v="5"/>
    <n v="408"/>
    <n v="2040"/>
  </r>
  <r>
    <s v="ORD0196"/>
    <d v="2025-01-22T00:00:00"/>
    <x v="3"/>
    <x v="6"/>
    <x v="2"/>
    <n v="10"/>
    <n v="49"/>
    <n v="490"/>
  </r>
  <r>
    <s v="ORD0197"/>
    <d v="2025-01-15T00:00:00"/>
    <x v="0"/>
    <x v="3"/>
    <x v="0"/>
    <n v="6"/>
    <n v="125"/>
    <n v="750"/>
  </r>
  <r>
    <s v="ORD0198"/>
    <d v="2025-02-11T00:00:00"/>
    <x v="0"/>
    <x v="0"/>
    <x v="0"/>
    <n v="4"/>
    <n v="363"/>
    <n v="1452"/>
  </r>
  <r>
    <s v="ORD0199"/>
    <d v="2025-01-23T00:00:00"/>
    <x v="1"/>
    <x v="3"/>
    <x v="0"/>
    <n v="5"/>
    <n v="611"/>
    <n v="3055"/>
  </r>
  <r>
    <s v="ORD0200"/>
    <d v="2025-01-01T00:00:00"/>
    <x v="2"/>
    <x v="5"/>
    <x v="2"/>
    <n v="2"/>
    <n v="636"/>
    <n v="12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BF2BE-A09D-436B-9384-D6FB5709BE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D5" firstHeaderRow="1" firstDataRow="1" firstDataCol="0"/>
  <pivotFields count="9">
    <pivotField dataField="1"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A37F1-821A-4B95-895E-14FF963E67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F5" firstHeaderRow="1" firstDataRow="1" firstDataCol="0"/>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CA943-D63C-44BB-B879-BEE263F823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8"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axis="axisRow"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DE22B-774B-4588-A3FA-63BA3046CF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Q14:R18"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Total Revenue" fld="7" baseField="0" baseItem="0"/>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FD2EFD-505E-4069-8E5E-1242C092A08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S3:T7"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4">
    <i>
      <x v="1"/>
    </i>
    <i>
      <x v="2"/>
    </i>
    <i>
      <x v="3"/>
    </i>
    <i t="grand">
      <x/>
    </i>
  </rowItems>
  <colItems count="1">
    <i/>
  </colItems>
  <dataFields count="1">
    <dataField name="Sum of Total Revenue"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A43FF7-201A-4C4D-97C4-A4E9EF8545C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9:K27" firstHeaderRow="1" firstDataRow="1" firstDataCol="1"/>
  <pivotFields count="8">
    <pivotField showAll="0"/>
    <pivotField numFmtId="14" showAll="0"/>
    <pivotField showAll="0">
      <items count="5">
        <item x="2"/>
        <item x="1"/>
        <item x="0"/>
        <item x="3"/>
        <item t="default"/>
      </items>
    </pivotField>
    <pivotField axis="axisRow" showAll="0">
      <items count="8">
        <item x="1"/>
        <item x="4"/>
        <item x="2"/>
        <item x="6"/>
        <item x="5"/>
        <item x="0"/>
        <item x="3"/>
        <item t="default"/>
      </items>
    </pivotField>
    <pivotField showAll="0">
      <items count="4">
        <item x="2"/>
        <item x="1"/>
        <item x="0"/>
        <item t="default"/>
      </items>
    </pivotField>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 Revenue" fld="7" baseField="0" baseItem="0"/>
  </dataFields>
  <chartFormats count="9">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2"/>
          </reference>
        </references>
      </pivotArea>
    </chartFormat>
    <chartFormat chart="4" format="13">
      <pivotArea type="data" outline="0" fieldPosition="0">
        <references count="2">
          <reference field="4294967294" count="1" selected="0">
            <x v="0"/>
          </reference>
          <reference field="3" count="1" selected="0">
            <x v="3"/>
          </reference>
        </references>
      </pivotArea>
    </chartFormat>
    <chartFormat chart="4" format="14">
      <pivotArea type="data" outline="0" fieldPosition="0">
        <references count="2">
          <reference field="4294967294" count="1" selected="0">
            <x v="0"/>
          </reference>
          <reference field="3" count="1" selected="0">
            <x v="4"/>
          </reference>
        </references>
      </pivotArea>
    </chartFormat>
    <chartFormat chart="4" format="15">
      <pivotArea type="data" outline="0" fieldPosition="0">
        <references count="2">
          <reference field="4294967294" count="1" selected="0">
            <x v="0"/>
          </reference>
          <reference field="3" count="1" selected="0">
            <x v="5"/>
          </reference>
        </references>
      </pivotArea>
    </chartFormat>
    <chartFormat chart="4"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4B09E-E91C-4AF1-B5AE-165376BC84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M3:N14"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x="4"/>
        <item x="2"/>
        <item x="6"/>
        <item x="5"/>
        <item x="0"/>
        <item x="3"/>
        <item t="default"/>
      </items>
    </pivotField>
    <pivotField axis="axisRow"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2">
    <field x="4"/>
    <field x="3"/>
  </rowFields>
  <rowItems count="11">
    <i>
      <x/>
    </i>
    <i r="1">
      <x v="1"/>
    </i>
    <i r="1">
      <x v="2"/>
    </i>
    <i r="1">
      <x v="3"/>
    </i>
    <i r="1">
      <x v="4"/>
    </i>
    <i>
      <x v="1"/>
    </i>
    <i r="1">
      <x/>
    </i>
    <i>
      <x v="2"/>
    </i>
    <i r="1">
      <x v="5"/>
    </i>
    <i r="1">
      <x v="6"/>
    </i>
    <i t="grand">
      <x/>
    </i>
  </rowItems>
  <colItems count="1">
    <i/>
  </colItems>
  <dataFields count="1">
    <dataField name="Sum of Total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80A926-EDBD-465E-B793-ABFFDBE070B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J11" firstHeaderRow="0" firstDataRow="0" firstDataCol="0"/>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sortType="ascending">
      <items count="8">
        <item x="1"/>
        <item x="4"/>
        <item x="2"/>
        <item x="6"/>
        <item x="5"/>
        <item x="0"/>
        <item x="3"/>
        <item t="default"/>
      </items>
    </pivotField>
    <pivotField showAll="0">
      <items count="4">
        <item x="2"/>
        <item x="1"/>
        <item x="0"/>
        <item t="default"/>
      </items>
    </pivotField>
    <pivotField showAll="0"/>
    <pivotField showAll="0"/>
    <pivotField dataField="1"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Total Revenue" fld="7" baseField="0" baseItem="0"/>
  </dataField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9C432B-5B56-469E-8627-A7382A5472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P3:Q11" firstHeaderRow="1" firstDataRow="1" firstDataCol="1"/>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axis="axisRow"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Sum of Total Revenue" fld="7" baseField="0" baseItem="0"/>
  </dataField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0"/>
          </reference>
        </references>
      </pivotArea>
    </chartFormat>
    <chartFormat chart="9" format="11">
      <pivotArea type="data" outline="0" fieldPosition="0">
        <references count="2">
          <reference field="4294967294" count="1" selected="0">
            <x v="0"/>
          </reference>
          <reference field="3" count="1" selected="0">
            <x v="1"/>
          </reference>
        </references>
      </pivotArea>
    </chartFormat>
    <chartFormat chart="9" format="12">
      <pivotArea type="data" outline="0" fieldPosition="0">
        <references count="2">
          <reference field="4294967294" count="1" selected="0">
            <x v="0"/>
          </reference>
          <reference field="3" count="1" selected="0">
            <x v="2"/>
          </reference>
        </references>
      </pivotArea>
    </chartFormat>
    <chartFormat chart="9" format="13">
      <pivotArea type="data" outline="0" fieldPosition="0">
        <references count="2">
          <reference field="4294967294" count="1" selected="0">
            <x v="0"/>
          </reference>
          <reference field="3" count="1" selected="0">
            <x v="3"/>
          </reference>
        </references>
      </pivotArea>
    </chartFormat>
    <chartFormat chart="9" format="14">
      <pivotArea type="data" outline="0" fieldPosition="0">
        <references count="2">
          <reference field="4294967294" count="1" selected="0">
            <x v="0"/>
          </reference>
          <reference field="3" count="1" selected="0">
            <x v="4"/>
          </reference>
        </references>
      </pivotArea>
    </chartFormat>
    <chartFormat chart="9" format="15">
      <pivotArea type="data" outline="0" fieldPosition="0">
        <references count="2">
          <reference field="4294967294" count="1" selected="0">
            <x v="0"/>
          </reference>
          <reference field="3" count="1" selected="0">
            <x v="5"/>
          </reference>
        </references>
      </pivotArea>
    </chartFormat>
    <chartFormat chart="9" format="16">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B4D532-8333-4B1C-BB9A-14CBE807767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B5" firstHeaderRow="1" firstDataRow="1" firstDataCol="0"/>
  <pivotFields count="9">
    <pivotField showAll="0"/>
    <pivotField numFmtId="164" showAll="0">
      <items count="61">
        <item x="47"/>
        <item x="8"/>
        <item x="35"/>
        <item x="45"/>
        <item x="3"/>
        <item x="40"/>
        <item x="54"/>
        <item x="31"/>
        <item x="21"/>
        <item x="36"/>
        <item x="29"/>
        <item x="27"/>
        <item x="44"/>
        <item x="46"/>
        <item x="18"/>
        <item x="48"/>
        <item x="50"/>
        <item x="52"/>
        <item x="17"/>
        <item x="43"/>
        <item x="28"/>
        <item x="11"/>
        <item x="6"/>
        <item x="42"/>
        <item x="23"/>
        <item x="19"/>
        <item x="57"/>
        <item x="0"/>
        <item x="1"/>
        <item x="53"/>
        <item x="38"/>
        <item x="15"/>
        <item x="37"/>
        <item x="12"/>
        <item x="4"/>
        <item x="13"/>
        <item x="33"/>
        <item x="56"/>
        <item x="58"/>
        <item x="59"/>
        <item x="25"/>
        <item x="16"/>
        <item x="55"/>
        <item x="2"/>
        <item x="9"/>
        <item x="10"/>
        <item x="34"/>
        <item x="39"/>
        <item x="20"/>
        <item x="30"/>
        <item x="51"/>
        <item x="22"/>
        <item x="26"/>
        <item x="5"/>
        <item x="49"/>
        <item x="41"/>
        <item x="14"/>
        <item x="7"/>
        <item x="24"/>
        <item x="32"/>
        <item t="default"/>
      </items>
    </pivotField>
    <pivotField showAll="0">
      <items count="5">
        <item x="2"/>
        <item x="1"/>
        <item x="0"/>
        <item x="3"/>
        <item t="default"/>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3BCCB0-24AC-4190-BD06-A7F1D3F20036}"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Region" tableColumnId="3"/>
      <queryTableField id="4" name="Product" tableColumnId="4"/>
      <queryTableField id="5" name="Category" tableColumnId="5"/>
      <queryTableField id="6" name="Quantity" tableColumnId="6"/>
      <queryTableField id="7" name="Unit_Price" tableColumnId="7"/>
      <queryTableField id="8" name="Total Revenue" tableColumnId="8"/>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1B0984-5CC4-4B26-BAE4-DD215F37B082}" sourceName="Region">
  <pivotTables>
    <pivotTable tabId="3" name="PivotTable1"/>
    <pivotTable tabId="3" name="PivotTable3"/>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642E16-A1E1-4AA9-95B0-0F00DFE78FA3}" sourceName="Category">
  <pivotTables>
    <pivotTable tabId="3" name="PivotTable3"/>
    <pivotTable tabId="3" name="PivotTable1"/>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D4E26AA-0D19-4F8C-A16E-B43443DB058E}" sourceName="Product">
  <pivotTables>
    <pivotTable tabId="3" name="PivotTable1"/>
    <pivotTable tabId="3" name="PivotTable3"/>
    <pivotTable tabId="3" name="PivotTable7"/>
    <pivotTable tabId="3" name="PivotTable2"/>
    <pivotTable tabId="3" name="PivotTable4"/>
    <pivotTable tabId="3" name="PivotTable5"/>
    <pivotTable tabId="3" name="PivotTable6"/>
    <pivotTable tabId="3" name="PivotTable8"/>
    <pivotTable tabId="3" name="PivotTable9"/>
  </pivotTables>
  <data>
    <tabular pivotCacheId="645727863">
      <items count="7">
        <i x="1" s="1"/>
        <i x="4" s="1"/>
        <i x="2" s="1"/>
        <i x="6"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EC7E0F1-3C78-48B1-B12B-C81EB23F0A91}" cache="Slicer_Region" caption="Region" style="SlicerStyleOther2" rowHeight="234950"/>
  <slicer name="Category 1" xr10:uid="{69327B95-FF4E-4A27-AA44-47D1C9705B63}" cache="Slicer_Category" caption="Category" style="SlicerStyleOther2" rowHeight="234950"/>
  <slicer name="Product" xr10:uid="{03C832C4-18C5-4BF6-975B-C907BC17DB1B}" cache="Slicer_Product1" caption="Product" style="SlicerStyleOther2"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16C32-F901-4707-8BC5-B16F1A1B8BCC}" name="Table1_1" displayName="Table1_1" ref="A1:H201" tableType="queryTable" totalsRowShown="0">
  <autoFilter ref="A1:H201" xr:uid="{C9116C32-F901-4707-8BC5-B16F1A1B8BCC}"/>
  <tableColumns count="8">
    <tableColumn id="1" xr3:uid="{8A95604E-7C50-487F-BCE8-839935351794}" uniqueName="1" name="Order_ID" queryTableFieldId="1" dataDxfId="4"/>
    <tableColumn id="2" xr3:uid="{6A71CB4F-3E0C-473E-96C7-C85F98AAAB80}" uniqueName="2" name="Order_Date" queryTableFieldId="2" dataDxfId="3"/>
    <tableColumn id="3" xr3:uid="{0A28693E-50C1-4F1A-BD35-6EE64719F09F}" uniqueName="3" name="Region" queryTableFieldId="3" dataDxfId="2"/>
    <tableColumn id="4" xr3:uid="{00EB86B7-B9D1-4ED8-B47F-748E86A59BEC}" uniqueName="4" name="Product" queryTableFieldId="4" dataDxfId="1"/>
    <tableColumn id="5" xr3:uid="{70C6D659-0790-4D9B-8BE7-0C2DE0908BCE}" uniqueName="5" name="Category" queryTableFieldId="5" dataDxfId="0"/>
    <tableColumn id="6" xr3:uid="{A124E1F9-49B8-4462-B7A9-17942A18EF66}" uniqueName="6" name="Quantity" queryTableFieldId="6"/>
    <tableColumn id="7" xr3:uid="{E5615E22-2EEE-4AC6-BF78-354E9190B437}" uniqueName="7" name="Unit_Price" queryTableFieldId="7"/>
    <tableColumn id="8" xr3:uid="{1248B208-57AE-4B7F-AD82-2715B5213B27}" uniqueName="8" name="Total Revenu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9804-9001-4B49-952B-9B776A41035E}">
  <dimension ref="A1:H201"/>
  <sheetViews>
    <sheetView workbookViewId="0">
      <selection activeCell="E2" sqref="E2"/>
    </sheetView>
  </sheetViews>
  <sheetFormatPr defaultRowHeight="15.05" x14ac:dyDescent="0.3"/>
  <cols>
    <col min="1" max="1" width="10.77734375" bestFit="1" customWidth="1"/>
    <col min="2" max="2" width="12.88671875" bestFit="1" customWidth="1"/>
    <col min="3" max="3" width="9" bestFit="1" customWidth="1"/>
    <col min="4" max="4" width="9.88671875" bestFit="1" customWidth="1"/>
    <col min="5" max="5" width="10.77734375" bestFit="1" customWidth="1"/>
    <col min="6" max="6" width="10.5546875" bestFit="1" customWidth="1"/>
    <col min="7" max="7" width="11.88671875" bestFit="1" customWidth="1"/>
    <col min="8" max="8" width="15.33203125" bestFit="1" customWidth="1"/>
  </cols>
  <sheetData>
    <row r="1" spans="1:8" x14ac:dyDescent="0.3">
      <c r="A1" t="s">
        <v>0</v>
      </c>
      <c r="B1" t="s">
        <v>1</v>
      </c>
      <c r="C1" t="s">
        <v>2</v>
      </c>
      <c r="D1" t="s">
        <v>3</v>
      </c>
      <c r="E1" t="s">
        <v>4</v>
      </c>
      <c r="F1" t="s">
        <v>5</v>
      </c>
      <c r="G1" t="s">
        <v>6</v>
      </c>
      <c r="H1" t="s">
        <v>221</v>
      </c>
    </row>
    <row r="2" spans="1:8" x14ac:dyDescent="0.3">
      <c r="A2" t="s">
        <v>7</v>
      </c>
      <c r="B2" s="4">
        <v>45685</v>
      </c>
      <c r="C2" t="s">
        <v>8</v>
      </c>
      <c r="D2" t="s">
        <v>9</v>
      </c>
      <c r="E2" t="s">
        <v>10</v>
      </c>
      <c r="F2">
        <v>6</v>
      </c>
      <c r="G2">
        <v>142</v>
      </c>
      <c r="H2">
        <v>852</v>
      </c>
    </row>
    <row r="3" spans="1:8" x14ac:dyDescent="0.3">
      <c r="A3" t="s">
        <v>11</v>
      </c>
      <c r="B3" s="4">
        <v>45686</v>
      </c>
      <c r="C3" t="s">
        <v>12</v>
      </c>
      <c r="D3" t="s">
        <v>13</v>
      </c>
      <c r="E3" t="s">
        <v>14</v>
      </c>
      <c r="F3">
        <v>4</v>
      </c>
      <c r="G3">
        <v>890</v>
      </c>
      <c r="H3">
        <v>3560</v>
      </c>
    </row>
    <row r="4" spans="1:8" x14ac:dyDescent="0.3">
      <c r="A4" t="s">
        <v>15</v>
      </c>
      <c r="B4" s="4">
        <v>45701</v>
      </c>
      <c r="C4" t="s">
        <v>8</v>
      </c>
      <c r="D4" t="s">
        <v>9</v>
      </c>
      <c r="E4" t="s">
        <v>10</v>
      </c>
      <c r="F4">
        <v>10</v>
      </c>
      <c r="G4">
        <v>786</v>
      </c>
      <c r="H4">
        <v>7860</v>
      </c>
    </row>
    <row r="5" spans="1:8" x14ac:dyDescent="0.3">
      <c r="A5" t="s">
        <v>16</v>
      </c>
      <c r="B5" s="4">
        <v>45662</v>
      </c>
      <c r="C5" t="s">
        <v>8</v>
      </c>
      <c r="D5" t="s">
        <v>17</v>
      </c>
      <c r="E5" t="s">
        <v>18</v>
      </c>
      <c r="F5">
        <v>2</v>
      </c>
      <c r="G5">
        <v>20</v>
      </c>
      <c r="H5">
        <v>40</v>
      </c>
    </row>
    <row r="6" spans="1:8" x14ac:dyDescent="0.3">
      <c r="A6" t="s">
        <v>19</v>
      </c>
      <c r="B6" s="4">
        <v>45692</v>
      </c>
      <c r="C6" t="s">
        <v>8</v>
      </c>
      <c r="D6" t="s">
        <v>17</v>
      </c>
      <c r="E6" t="s">
        <v>18</v>
      </c>
      <c r="F6">
        <v>1</v>
      </c>
      <c r="G6">
        <v>74</v>
      </c>
      <c r="H6">
        <v>74</v>
      </c>
    </row>
    <row r="7" spans="1:8" x14ac:dyDescent="0.3">
      <c r="A7" t="s">
        <v>20</v>
      </c>
      <c r="B7" s="4">
        <v>45711</v>
      </c>
      <c r="C7" t="s">
        <v>8</v>
      </c>
      <c r="D7" t="s">
        <v>13</v>
      </c>
      <c r="E7" t="s">
        <v>14</v>
      </c>
      <c r="F7">
        <v>4</v>
      </c>
      <c r="G7">
        <v>486</v>
      </c>
      <c r="H7">
        <v>1944</v>
      </c>
    </row>
    <row r="8" spans="1:8" x14ac:dyDescent="0.3">
      <c r="A8" t="s">
        <v>21</v>
      </c>
      <c r="B8" s="4">
        <v>45680</v>
      </c>
      <c r="C8" t="s">
        <v>8</v>
      </c>
      <c r="D8" t="s">
        <v>9</v>
      </c>
      <c r="E8" t="s">
        <v>10</v>
      </c>
      <c r="F8">
        <v>1</v>
      </c>
      <c r="G8">
        <v>560</v>
      </c>
      <c r="H8">
        <v>560</v>
      </c>
    </row>
    <row r="9" spans="1:8" x14ac:dyDescent="0.3">
      <c r="A9" t="s">
        <v>22</v>
      </c>
      <c r="B9" s="4">
        <v>45715</v>
      </c>
      <c r="C9" t="s">
        <v>12</v>
      </c>
      <c r="D9" t="s">
        <v>23</v>
      </c>
      <c r="E9" t="s">
        <v>10</v>
      </c>
      <c r="F9">
        <v>2</v>
      </c>
      <c r="G9">
        <v>737</v>
      </c>
      <c r="H9">
        <v>1474</v>
      </c>
    </row>
    <row r="10" spans="1:8" x14ac:dyDescent="0.3">
      <c r="A10" t="s">
        <v>24</v>
      </c>
      <c r="B10" s="4">
        <v>45659</v>
      </c>
      <c r="C10" t="s">
        <v>25</v>
      </c>
      <c r="D10" t="s">
        <v>9</v>
      </c>
      <c r="E10" t="s">
        <v>10</v>
      </c>
      <c r="F10">
        <v>1</v>
      </c>
      <c r="G10">
        <v>647</v>
      </c>
      <c r="H10">
        <v>647</v>
      </c>
    </row>
    <row r="11" spans="1:8" x14ac:dyDescent="0.3">
      <c r="A11" t="s">
        <v>26</v>
      </c>
      <c r="B11" s="4">
        <v>45702</v>
      </c>
      <c r="C11" t="s">
        <v>8</v>
      </c>
      <c r="D11" t="s">
        <v>27</v>
      </c>
      <c r="E11" t="s">
        <v>18</v>
      </c>
      <c r="F11">
        <v>6</v>
      </c>
      <c r="G11">
        <v>681</v>
      </c>
      <c r="H11">
        <v>4086</v>
      </c>
    </row>
    <row r="12" spans="1:8" x14ac:dyDescent="0.3">
      <c r="A12" t="s">
        <v>28</v>
      </c>
      <c r="B12" s="4">
        <v>45703</v>
      </c>
      <c r="C12" t="s">
        <v>29</v>
      </c>
      <c r="D12" t="s">
        <v>30</v>
      </c>
      <c r="E12" t="s">
        <v>18</v>
      </c>
      <c r="F12">
        <v>7</v>
      </c>
      <c r="G12">
        <v>429</v>
      </c>
      <c r="H12">
        <v>3003</v>
      </c>
    </row>
    <row r="13" spans="1:8" x14ac:dyDescent="0.3">
      <c r="A13" t="s">
        <v>31</v>
      </c>
      <c r="B13" s="4">
        <v>45679</v>
      </c>
      <c r="C13" t="s">
        <v>25</v>
      </c>
      <c r="D13" t="s">
        <v>32</v>
      </c>
      <c r="E13" t="s">
        <v>18</v>
      </c>
      <c r="F13">
        <v>7</v>
      </c>
      <c r="G13">
        <v>194</v>
      </c>
      <c r="H13">
        <v>1358</v>
      </c>
    </row>
    <row r="14" spans="1:8" x14ac:dyDescent="0.3">
      <c r="A14" t="s">
        <v>33</v>
      </c>
      <c r="B14" s="4">
        <v>45711</v>
      </c>
      <c r="C14" t="s">
        <v>8</v>
      </c>
      <c r="D14" t="s">
        <v>23</v>
      </c>
      <c r="E14" t="s">
        <v>10</v>
      </c>
      <c r="F14">
        <v>4</v>
      </c>
      <c r="G14">
        <v>503</v>
      </c>
      <c r="H14">
        <v>2012</v>
      </c>
    </row>
    <row r="15" spans="1:8" x14ac:dyDescent="0.3">
      <c r="A15" t="s">
        <v>34</v>
      </c>
      <c r="B15" s="4">
        <v>45691</v>
      </c>
      <c r="C15" t="s">
        <v>12</v>
      </c>
      <c r="D15" t="s">
        <v>17</v>
      </c>
      <c r="E15" t="s">
        <v>18</v>
      </c>
      <c r="F15">
        <v>2</v>
      </c>
      <c r="G15">
        <v>21</v>
      </c>
      <c r="H15">
        <v>42</v>
      </c>
    </row>
    <row r="16" spans="1:8" x14ac:dyDescent="0.3">
      <c r="A16" t="s">
        <v>35</v>
      </c>
      <c r="B16" s="4">
        <v>45693</v>
      </c>
      <c r="C16" t="s">
        <v>29</v>
      </c>
      <c r="D16" t="s">
        <v>17</v>
      </c>
      <c r="E16" t="s">
        <v>18</v>
      </c>
      <c r="F16">
        <v>6</v>
      </c>
      <c r="G16">
        <v>511</v>
      </c>
      <c r="H16">
        <v>3066</v>
      </c>
    </row>
    <row r="17" spans="1:8" x14ac:dyDescent="0.3">
      <c r="A17" t="s">
        <v>36</v>
      </c>
      <c r="B17" s="4">
        <v>45714</v>
      </c>
      <c r="C17" t="s">
        <v>8</v>
      </c>
      <c r="D17" t="s">
        <v>23</v>
      </c>
      <c r="E17" t="s">
        <v>10</v>
      </c>
      <c r="F17">
        <v>6</v>
      </c>
      <c r="G17">
        <v>235</v>
      </c>
      <c r="H17">
        <v>1410</v>
      </c>
    </row>
    <row r="18" spans="1:8" x14ac:dyDescent="0.3">
      <c r="A18" t="s">
        <v>37</v>
      </c>
      <c r="B18" s="4">
        <v>45689</v>
      </c>
      <c r="C18" t="s">
        <v>12</v>
      </c>
      <c r="D18" t="s">
        <v>9</v>
      </c>
      <c r="E18" t="s">
        <v>10</v>
      </c>
      <c r="F18">
        <v>6</v>
      </c>
      <c r="G18">
        <v>646</v>
      </c>
      <c r="H18">
        <v>3876</v>
      </c>
    </row>
    <row r="19" spans="1:8" x14ac:dyDescent="0.3">
      <c r="A19" t="s">
        <v>38</v>
      </c>
      <c r="B19" s="4">
        <v>45679</v>
      </c>
      <c r="C19" t="s">
        <v>29</v>
      </c>
      <c r="D19" t="s">
        <v>17</v>
      </c>
      <c r="E19" t="s">
        <v>18</v>
      </c>
      <c r="F19">
        <v>1</v>
      </c>
      <c r="G19">
        <v>375</v>
      </c>
      <c r="H19">
        <v>375</v>
      </c>
    </row>
    <row r="20" spans="1:8" x14ac:dyDescent="0.3">
      <c r="A20" t="s">
        <v>39</v>
      </c>
      <c r="B20" s="4">
        <v>45693</v>
      </c>
      <c r="C20" t="s">
        <v>25</v>
      </c>
      <c r="D20" t="s">
        <v>23</v>
      </c>
      <c r="E20" t="s">
        <v>10</v>
      </c>
      <c r="F20">
        <v>4</v>
      </c>
      <c r="G20">
        <v>474</v>
      </c>
      <c r="H20">
        <v>1896</v>
      </c>
    </row>
    <row r="21" spans="1:8" x14ac:dyDescent="0.3">
      <c r="A21" t="s">
        <v>40</v>
      </c>
      <c r="B21" s="4">
        <v>45699</v>
      </c>
      <c r="C21" t="s">
        <v>8</v>
      </c>
      <c r="D21" t="s">
        <v>9</v>
      </c>
      <c r="E21" t="s">
        <v>10</v>
      </c>
      <c r="F21">
        <v>5</v>
      </c>
      <c r="G21">
        <v>649</v>
      </c>
      <c r="H21">
        <v>3245</v>
      </c>
    </row>
    <row r="22" spans="1:8" x14ac:dyDescent="0.3">
      <c r="A22" t="s">
        <v>41</v>
      </c>
      <c r="B22" s="4">
        <v>45715</v>
      </c>
      <c r="C22" t="s">
        <v>8</v>
      </c>
      <c r="D22" t="s">
        <v>23</v>
      </c>
      <c r="E22" t="s">
        <v>10</v>
      </c>
      <c r="F22">
        <v>10</v>
      </c>
      <c r="G22">
        <v>710</v>
      </c>
      <c r="H22">
        <v>7100</v>
      </c>
    </row>
    <row r="23" spans="1:8" x14ac:dyDescent="0.3">
      <c r="A23" t="s">
        <v>42</v>
      </c>
      <c r="B23" s="4">
        <v>45676</v>
      </c>
      <c r="C23" t="s">
        <v>29</v>
      </c>
      <c r="D23" t="s">
        <v>13</v>
      </c>
      <c r="E23" t="s">
        <v>14</v>
      </c>
      <c r="F23">
        <v>7</v>
      </c>
      <c r="G23">
        <v>896</v>
      </c>
      <c r="H23">
        <v>6272</v>
      </c>
    </row>
    <row r="24" spans="1:8" x14ac:dyDescent="0.3">
      <c r="A24" t="s">
        <v>43</v>
      </c>
      <c r="B24" s="4">
        <v>45672</v>
      </c>
      <c r="C24" t="s">
        <v>29</v>
      </c>
      <c r="D24" t="s">
        <v>13</v>
      </c>
      <c r="E24" t="s">
        <v>14</v>
      </c>
      <c r="F24">
        <v>1</v>
      </c>
      <c r="G24">
        <v>899</v>
      </c>
      <c r="H24">
        <v>899</v>
      </c>
    </row>
    <row r="25" spans="1:8" x14ac:dyDescent="0.3">
      <c r="A25" t="s">
        <v>44</v>
      </c>
      <c r="B25" s="4">
        <v>45680</v>
      </c>
      <c r="C25" t="s">
        <v>29</v>
      </c>
      <c r="D25" t="s">
        <v>30</v>
      </c>
      <c r="E25" t="s">
        <v>18</v>
      </c>
      <c r="F25">
        <v>8</v>
      </c>
      <c r="G25">
        <v>457</v>
      </c>
      <c r="H25">
        <v>3656</v>
      </c>
    </row>
    <row r="26" spans="1:8" x14ac:dyDescent="0.3">
      <c r="A26" t="s">
        <v>45</v>
      </c>
      <c r="B26" s="4">
        <v>45680</v>
      </c>
      <c r="C26" t="s">
        <v>29</v>
      </c>
      <c r="D26" t="s">
        <v>13</v>
      </c>
      <c r="E26" t="s">
        <v>14</v>
      </c>
      <c r="F26">
        <v>9</v>
      </c>
      <c r="G26">
        <v>587</v>
      </c>
      <c r="H26">
        <v>5283</v>
      </c>
    </row>
    <row r="27" spans="1:8" x14ac:dyDescent="0.3">
      <c r="A27" t="s">
        <v>46</v>
      </c>
      <c r="B27" s="4">
        <v>45683</v>
      </c>
      <c r="C27" t="s">
        <v>12</v>
      </c>
      <c r="D27" t="s">
        <v>13</v>
      </c>
      <c r="E27" t="s">
        <v>14</v>
      </c>
      <c r="F27">
        <v>4</v>
      </c>
      <c r="G27">
        <v>420</v>
      </c>
      <c r="H27">
        <v>1680</v>
      </c>
    </row>
    <row r="28" spans="1:8" x14ac:dyDescent="0.3">
      <c r="A28" t="s">
        <v>47</v>
      </c>
      <c r="B28" s="4">
        <v>45706</v>
      </c>
      <c r="C28" t="s">
        <v>25</v>
      </c>
      <c r="D28" t="s">
        <v>9</v>
      </c>
      <c r="E28" t="s">
        <v>10</v>
      </c>
      <c r="F28">
        <v>4</v>
      </c>
      <c r="G28">
        <v>761</v>
      </c>
      <c r="H28">
        <v>3044</v>
      </c>
    </row>
    <row r="29" spans="1:8" x14ac:dyDescent="0.3">
      <c r="A29" t="s">
        <v>48</v>
      </c>
      <c r="B29" s="4">
        <v>45666</v>
      </c>
      <c r="C29" t="s">
        <v>25</v>
      </c>
      <c r="D29" t="s">
        <v>13</v>
      </c>
      <c r="E29" t="s">
        <v>14</v>
      </c>
      <c r="F29">
        <v>3</v>
      </c>
      <c r="G29">
        <v>18</v>
      </c>
      <c r="H29">
        <v>54</v>
      </c>
    </row>
    <row r="30" spans="1:8" x14ac:dyDescent="0.3">
      <c r="A30" t="s">
        <v>49</v>
      </c>
      <c r="B30" s="4">
        <v>45709</v>
      </c>
      <c r="C30" t="s">
        <v>12</v>
      </c>
      <c r="D30" t="s">
        <v>27</v>
      </c>
      <c r="E30" t="s">
        <v>18</v>
      </c>
      <c r="F30">
        <v>3</v>
      </c>
      <c r="G30">
        <v>351</v>
      </c>
      <c r="H30">
        <v>1053</v>
      </c>
    </row>
    <row r="31" spans="1:8" x14ac:dyDescent="0.3">
      <c r="A31" t="s">
        <v>50</v>
      </c>
      <c r="B31" s="4">
        <v>45682</v>
      </c>
      <c r="C31" t="s">
        <v>25</v>
      </c>
      <c r="D31" t="s">
        <v>17</v>
      </c>
      <c r="E31" t="s">
        <v>18</v>
      </c>
      <c r="F31">
        <v>10</v>
      </c>
      <c r="G31">
        <v>131</v>
      </c>
      <c r="H31">
        <v>1310</v>
      </c>
    </row>
    <row r="32" spans="1:8" x14ac:dyDescent="0.3">
      <c r="A32" t="s">
        <v>51</v>
      </c>
      <c r="B32" s="4">
        <v>45717</v>
      </c>
      <c r="C32" t="s">
        <v>8</v>
      </c>
      <c r="D32" t="s">
        <v>23</v>
      </c>
      <c r="E32" t="s">
        <v>10</v>
      </c>
      <c r="F32">
        <v>4</v>
      </c>
      <c r="G32">
        <v>240</v>
      </c>
      <c r="H32">
        <v>960</v>
      </c>
    </row>
    <row r="33" spans="1:8" x14ac:dyDescent="0.3">
      <c r="A33" t="s">
        <v>52</v>
      </c>
      <c r="B33" s="4">
        <v>45698</v>
      </c>
      <c r="C33" t="s">
        <v>8</v>
      </c>
      <c r="D33" t="s">
        <v>27</v>
      </c>
      <c r="E33" t="s">
        <v>18</v>
      </c>
      <c r="F33">
        <v>5</v>
      </c>
      <c r="G33">
        <v>298</v>
      </c>
      <c r="H33">
        <v>1490</v>
      </c>
    </row>
    <row r="34" spans="1:8" x14ac:dyDescent="0.3">
      <c r="A34" t="s">
        <v>53</v>
      </c>
      <c r="B34" s="4">
        <v>45717</v>
      </c>
      <c r="C34" t="s">
        <v>8</v>
      </c>
      <c r="D34" t="s">
        <v>23</v>
      </c>
      <c r="E34" t="s">
        <v>10</v>
      </c>
      <c r="F34">
        <v>5</v>
      </c>
      <c r="G34">
        <v>575</v>
      </c>
      <c r="H34">
        <v>2875</v>
      </c>
    </row>
    <row r="35" spans="1:8" x14ac:dyDescent="0.3">
      <c r="A35" t="s">
        <v>54</v>
      </c>
      <c r="B35" s="4">
        <v>45715</v>
      </c>
      <c r="C35" t="s">
        <v>25</v>
      </c>
      <c r="D35" t="s">
        <v>30</v>
      </c>
      <c r="E35" t="s">
        <v>18</v>
      </c>
      <c r="F35">
        <v>10</v>
      </c>
      <c r="G35">
        <v>253</v>
      </c>
      <c r="H35">
        <v>2530</v>
      </c>
    </row>
    <row r="36" spans="1:8" x14ac:dyDescent="0.3">
      <c r="A36" t="s">
        <v>55</v>
      </c>
      <c r="B36" s="4">
        <v>45717</v>
      </c>
      <c r="C36" t="s">
        <v>29</v>
      </c>
      <c r="D36" t="s">
        <v>13</v>
      </c>
      <c r="E36" t="s">
        <v>14</v>
      </c>
      <c r="F36">
        <v>7</v>
      </c>
      <c r="G36">
        <v>636</v>
      </c>
      <c r="H36">
        <v>4452</v>
      </c>
    </row>
    <row r="37" spans="1:8" x14ac:dyDescent="0.3">
      <c r="A37" t="s">
        <v>56</v>
      </c>
      <c r="B37" s="4">
        <v>45686</v>
      </c>
      <c r="C37" t="s">
        <v>29</v>
      </c>
      <c r="D37" t="s">
        <v>27</v>
      </c>
      <c r="E37" t="s">
        <v>18</v>
      </c>
      <c r="F37">
        <v>9</v>
      </c>
      <c r="G37">
        <v>127</v>
      </c>
      <c r="H37">
        <v>1143</v>
      </c>
    </row>
    <row r="38" spans="1:8" x14ac:dyDescent="0.3">
      <c r="A38" t="s">
        <v>57</v>
      </c>
      <c r="B38" s="4">
        <v>45689</v>
      </c>
      <c r="C38" t="s">
        <v>12</v>
      </c>
      <c r="D38" t="s">
        <v>27</v>
      </c>
      <c r="E38" t="s">
        <v>18</v>
      </c>
      <c r="F38">
        <v>1</v>
      </c>
      <c r="G38">
        <v>120</v>
      </c>
      <c r="H38">
        <v>120</v>
      </c>
    </row>
    <row r="39" spans="1:8" x14ac:dyDescent="0.3">
      <c r="A39" t="s">
        <v>58</v>
      </c>
      <c r="B39" s="4">
        <v>45691</v>
      </c>
      <c r="C39" t="s">
        <v>25</v>
      </c>
      <c r="D39" t="s">
        <v>13</v>
      </c>
      <c r="E39" t="s">
        <v>14</v>
      </c>
      <c r="F39">
        <v>9</v>
      </c>
      <c r="G39">
        <v>241</v>
      </c>
      <c r="H39">
        <v>2169</v>
      </c>
    </row>
    <row r="40" spans="1:8" x14ac:dyDescent="0.3">
      <c r="A40" t="s">
        <v>59</v>
      </c>
      <c r="B40" s="4">
        <v>45662</v>
      </c>
      <c r="C40" t="s">
        <v>29</v>
      </c>
      <c r="D40" t="s">
        <v>23</v>
      </c>
      <c r="E40" t="s">
        <v>10</v>
      </c>
      <c r="F40">
        <v>1</v>
      </c>
      <c r="G40">
        <v>284</v>
      </c>
      <c r="H40">
        <v>284</v>
      </c>
    </row>
    <row r="41" spans="1:8" x14ac:dyDescent="0.3">
      <c r="A41" t="s">
        <v>60</v>
      </c>
      <c r="B41" s="4">
        <v>45710</v>
      </c>
      <c r="C41" t="s">
        <v>29</v>
      </c>
      <c r="D41" t="s">
        <v>9</v>
      </c>
      <c r="E41" t="s">
        <v>10</v>
      </c>
      <c r="F41">
        <v>5</v>
      </c>
      <c r="G41">
        <v>694</v>
      </c>
      <c r="H41">
        <v>3470</v>
      </c>
    </row>
    <row r="42" spans="1:8" x14ac:dyDescent="0.3">
      <c r="A42" t="s">
        <v>61</v>
      </c>
      <c r="B42" s="4">
        <v>45709</v>
      </c>
      <c r="C42" t="s">
        <v>12</v>
      </c>
      <c r="D42" t="s">
        <v>32</v>
      </c>
      <c r="E42" t="s">
        <v>18</v>
      </c>
      <c r="F42">
        <v>10</v>
      </c>
      <c r="G42">
        <v>216</v>
      </c>
      <c r="H42">
        <v>2160</v>
      </c>
    </row>
    <row r="43" spans="1:8" x14ac:dyDescent="0.3">
      <c r="A43" t="s">
        <v>62</v>
      </c>
      <c r="B43" s="4">
        <v>45710</v>
      </c>
      <c r="C43" t="s">
        <v>25</v>
      </c>
      <c r="D43" t="s">
        <v>9</v>
      </c>
      <c r="E43" t="s">
        <v>10</v>
      </c>
      <c r="F43">
        <v>10</v>
      </c>
      <c r="G43">
        <v>806</v>
      </c>
      <c r="H43">
        <v>8060</v>
      </c>
    </row>
    <row r="44" spans="1:8" x14ac:dyDescent="0.3">
      <c r="A44" t="s">
        <v>63</v>
      </c>
      <c r="B44" s="4">
        <v>45669</v>
      </c>
      <c r="C44" t="s">
        <v>25</v>
      </c>
      <c r="D44" t="s">
        <v>27</v>
      </c>
      <c r="E44" t="s">
        <v>18</v>
      </c>
      <c r="F44">
        <v>3</v>
      </c>
      <c r="G44">
        <v>336</v>
      </c>
      <c r="H44">
        <v>1008</v>
      </c>
    </row>
    <row r="45" spans="1:8" x14ac:dyDescent="0.3">
      <c r="A45" t="s">
        <v>64</v>
      </c>
      <c r="B45" s="4">
        <v>45678</v>
      </c>
      <c r="C45" t="s">
        <v>29</v>
      </c>
      <c r="D45" t="s">
        <v>17</v>
      </c>
      <c r="E45" t="s">
        <v>18</v>
      </c>
      <c r="F45">
        <v>7</v>
      </c>
      <c r="G45">
        <v>269</v>
      </c>
      <c r="H45">
        <v>1883</v>
      </c>
    </row>
    <row r="46" spans="1:8" x14ac:dyDescent="0.3">
      <c r="A46" t="s">
        <v>65</v>
      </c>
      <c r="B46" s="4">
        <v>45669</v>
      </c>
      <c r="C46" t="s">
        <v>25</v>
      </c>
      <c r="D46" t="s">
        <v>27</v>
      </c>
      <c r="E46" t="s">
        <v>18</v>
      </c>
      <c r="F46">
        <v>2</v>
      </c>
      <c r="G46">
        <v>784</v>
      </c>
      <c r="H46">
        <v>1568</v>
      </c>
    </row>
    <row r="47" spans="1:8" x14ac:dyDescent="0.3">
      <c r="A47" t="s">
        <v>66</v>
      </c>
      <c r="B47" s="4">
        <v>45668</v>
      </c>
      <c r="C47" t="s">
        <v>8</v>
      </c>
      <c r="D47" t="s">
        <v>17</v>
      </c>
      <c r="E47" t="s">
        <v>18</v>
      </c>
      <c r="F47">
        <v>5</v>
      </c>
      <c r="G47">
        <v>282</v>
      </c>
      <c r="H47">
        <v>1410</v>
      </c>
    </row>
    <row r="48" spans="1:8" x14ac:dyDescent="0.3">
      <c r="A48" t="s">
        <v>67</v>
      </c>
      <c r="B48" s="4">
        <v>45707</v>
      </c>
      <c r="C48" t="s">
        <v>8</v>
      </c>
      <c r="D48" t="s">
        <v>23</v>
      </c>
      <c r="E48" t="s">
        <v>10</v>
      </c>
      <c r="F48">
        <v>8</v>
      </c>
      <c r="G48">
        <v>125</v>
      </c>
      <c r="H48">
        <v>1000</v>
      </c>
    </row>
    <row r="49" spans="1:8" x14ac:dyDescent="0.3">
      <c r="A49" t="s">
        <v>68</v>
      </c>
      <c r="B49" s="4">
        <v>45665</v>
      </c>
      <c r="C49" t="s">
        <v>29</v>
      </c>
      <c r="D49" t="s">
        <v>17</v>
      </c>
      <c r="E49" t="s">
        <v>18</v>
      </c>
      <c r="F49">
        <v>10</v>
      </c>
      <c r="G49">
        <v>150</v>
      </c>
      <c r="H49">
        <v>1500</v>
      </c>
    </row>
    <row r="50" spans="1:8" x14ac:dyDescent="0.3">
      <c r="A50" t="s">
        <v>69</v>
      </c>
      <c r="B50" s="4">
        <v>45718</v>
      </c>
      <c r="C50" t="s">
        <v>25</v>
      </c>
      <c r="D50" t="s">
        <v>17</v>
      </c>
      <c r="E50" t="s">
        <v>18</v>
      </c>
      <c r="F50">
        <v>1</v>
      </c>
      <c r="G50">
        <v>428</v>
      </c>
      <c r="H50">
        <v>428</v>
      </c>
    </row>
    <row r="51" spans="1:8" x14ac:dyDescent="0.3">
      <c r="A51" t="s">
        <v>70</v>
      </c>
      <c r="B51" s="4">
        <v>45693</v>
      </c>
      <c r="C51" t="s">
        <v>8</v>
      </c>
      <c r="D51" t="s">
        <v>17</v>
      </c>
      <c r="E51" t="s">
        <v>18</v>
      </c>
      <c r="F51">
        <v>9</v>
      </c>
      <c r="G51">
        <v>182</v>
      </c>
      <c r="H51">
        <v>1638</v>
      </c>
    </row>
    <row r="52" spans="1:8" x14ac:dyDescent="0.3">
      <c r="A52" t="s">
        <v>71</v>
      </c>
      <c r="B52" s="4">
        <v>45694</v>
      </c>
      <c r="C52" t="s">
        <v>8</v>
      </c>
      <c r="D52" t="s">
        <v>9</v>
      </c>
      <c r="E52" t="s">
        <v>10</v>
      </c>
      <c r="F52">
        <v>8</v>
      </c>
      <c r="G52">
        <v>878</v>
      </c>
      <c r="H52">
        <v>7024</v>
      </c>
    </row>
    <row r="53" spans="1:8" x14ac:dyDescent="0.3">
      <c r="A53" t="s">
        <v>72</v>
      </c>
      <c r="B53" s="4">
        <v>45704</v>
      </c>
      <c r="C53" t="s">
        <v>29</v>
      </c>
      <c r="D53" t="s">
        <v>30</v>
      </c>
      <c r="E53" t="s">
        <v>18</v>
      </c>
      <c r="F53">
        <v>4</v>
      </c>
      <c r="G53">
        <v>31</v>
      </c>
      <c r="H53">
        <v>124</v>
      </c>
    </row>
    <row r="54" spans="1:8" x14ac:dyDescent="0.3">
      <c r="A54" t="s">
        <v>73</v>
      </c>
      <c r="B54" s="4">
        <v>45665</v>
      </c>
      <c r="C54" t="s">
        <v>8</v>
      </c>
      <c r="D54" t="s">
        <v>27</v>
      </c>
      <c r="E54" t="s">
        <v>18</v>
      </c>
      <c r="F54">
        <v>9</v>
      </c>
      <c r="G54">
        <v>159</v>
      </c>
      <c r="H54">
        <v>1431</v>
      </c>
    </row>
    <row r="55" spans="1:8" x14ac:dyDescent="0.3">
      <c r="A55" t="s">
        <v>74</v>
      </c>
      <c r="B55" s="4">
        <v>45660</v>
      </c>
      <c r="C55" t="s">
        <v>25</v>
      </c>
      <c r="D55" t="s">
        <v>17</v>
      </c>
      <c r="E55" t="s">
        <v>18</v>
      </c>
      <c r="F55">
        <v>10</v>
      </c>
      <c r="G55">
        <v>259</v>
      </c>
      <c r="H55">
        <v>2590</v>
      </c>
    </row>
    <row r="56" spans="1:8" x14ac:dyDescent="0.3">
      <c r="A56" t="s">
        <v>75</v>
      </c>
      <c r="B56" s="4">
        <v>45694</v>
      </c>
      <c r="C56" t="s">
        <v>8</v>
      </c>
      <c r="D56" t="s">
        <v>23</v>
      </c>
      <c r="E56" t="s">
        <v>10</v>
      </c>
      <c r="F56">
        <v>3</v>
      </c>
      <c r="G56">
        <v>427</v>
      </c>
      <c r="H56">
        <v>1281</v>
      </c>
    </row>
    <row r="57" spans="1:8" x14ac:dyDescent="0.3">
      <c r="A57" t="s">
        <v>76</v>
      </c>
      <c r="B57" s="4">
        <v>45692</v>
      </c>
      <c r="C57" t="s">
        <v>8</v>
      </c>
      <c r="D57" t="s">
        <v>27</v>
      </c>
      <c r="E57" t="s">
        <v>18</v>
      </c>
      <c r="F57">
        <v>8</v>
      </c>
      <c r="G57">
        <v>105</v>
      </c>
      <c r="H57">
        <v>840</v>
      </c>
    </row>
    <row r="58" spans="1:8" x14ac:dyDescent="0.3">
      <c r="A58" t="s">
        <v>77</v>
      </c>
      <c r="B58" s="4">
        <v>45667</v>
      </c>
      <c r="C58" t="s">
        <v>25</v>
      </c>
      <c r="D58" t="s">
        <v>17</v>
      </c>
      <c r="E58" t="s">
        <v>18</v>
      </c>
      <c r="F58">
        <v>8</v>
      </c>
      <c r="G58">
        <v>276</v>
      </c>
      <c r="H58">
        <v>2208</v>
      </c>
    </row>
    <row r="59" spans="1:8" x14ac:dyDescent="0.3">
      <c r="A59" t="s">
        <v>78</v>
      </c>
      <c r="B59" s="4">
        <v>45715</v>
      </c>
      <c r="C59" t="s">
        <v>29</v>
      </c>
      <c r="D59" t="s">
        <v>23</v>
      </c>
      <c r="E59" t="s">
        <v>10</v>
      </c>
      <c r="F59">
        <v>1</v>
      </c>
      <c r="G59">
        <v>76</v>
      </c>
      <c r="H59">
        <v>76</v>
      </c>
    </row>
    <row r="60" spans="1:8" x14ac:dyDescent="0.3">
      <c r="A60" t="s">
        <v>79</v>
      </c>
      <c r="B60" s="4">
        <v>45690</v>
      </c>
      <c r="C60" t="s">
        <v>8</v>
      </c>
      <c r="D60" t="s">
        <v>27</v>
      </c>
      <c r="E60" t="s">
        <v>18</v>
      </c>
      <c r="F60">
        <v>9</v>
      </c>
      <c r="G60">
        <v>49</v>
      </c>
      <c r="H60">
        <v>441</v>
      </c>
    </row>
    <row r="61" spans="1:8" x14ac:dyDescent="0.3">
      <c r="A61" t="s">
        <v>80</v>
      </c>
      <c r="B61" s="4">
        <v>45688</v>
      </c>
      <c r="C61" t="s">
        <v>25</v>
      </c>
      <c r="D61" t="s">
        <v>23</v>
      </c>
      <c r="E61" t="s">
        <v>10</v>
      </c>
      <c r="F61">
        <v>2</v>
      </c>
      <c r="G61">
        <v>823</v>
      </c>
      <c r="H61">
        <v>1646</v>
      </c>
    </row>
    <row r="62" spans="1:8" x14ac:dyDescent="0.3">
      <c r="A62" t="s">
        <v>81</v>
      </c>
      <c r="B62" s="4">
        <v>45705</v>
      </c>
      <c r="C62" t="s">
        <v>12</v>
      </c>
      <c r="D62" t="s">
        <v>32</v>
      </c>
      <c r="E62" t="s">
        <v>18</v>
      </c>
      <c r="F62">
        <v>5</v>
      </c>
      <c r="G62">
        <v>149</v>
      </c>
      <c r="H62">
        <v>745</v>
      </c>
    </row>
    <row r="63" spans="1:8" x14ac:dyDescent="0.3">
      <c r="A63" t="s">
        <v>82</v>
      </c>
      <c r="B63" s="4">
        <v>45663</v>
      </c>
      <c r="C63" t="s">
        <v>12</v>
      </c>
      <c r="D63" t="s">
        <v>13</v>
      </c>
      <c r="E63" t="s">
        <v>14</v>
      </c>
      <c r="F63">
        <v>7</v>
      </c>
      <c r="G63">
        <v>790</v>
      </c>
      <c r="H63">
        <v>5530</v>
      </c>
    </row>
    <row r="64" spans="1:8" x14ac:dyDescent="0.3">
      <c r="A64" t="s">
        <v>83</v>
      </c>
      <c r="B64" s="4">
        <v>45704</v>
      </c>
      <c r="C64" t="s">
        <v>8</v>
      </c>
      <c r="D64" t="s">
        <v>27</v>
      </c>
      <c r="E64" t="s">
        <v>18</v>
      </c>
      <c r="F64">
        <v>8</v>
      </c>
      <c r="G64">
        <v>840</v>
      </c>
      <c r="H64">
        <v>6720</v>
      </c>
    </row>
    <row r="65" spans="1:8" x14ac:dyDescent="0.3">
      <c r="A65" t="s">
        <v>84</v>
      </c>
      <c r="B65" s="4">
        <v>45692</v>
      </c>
      <c r="C65" t="s">
        <v>12</v>
      </c>
      <c r="D65" t="s">
        <v>13</v>
      </c>
      <c r="E65" t="s">
        <v>14</v>
      </c>
      <c r="F65">
        <v>1</v>
      </c>
      <c r="G65">
        <v>382</v>
      </c>
      <c r="H65">
        <v>382</v>
      </c>
    </row>
    <row r="66" spans="1:8" x14ac:dyDescent="0.3">
      <c r="A66" t="s">
        <v>85</v>
      </c>
      <c r="B66" s="4">
        <v>45713</v>
      </c>
      <c r="C66" t="s">
        <v>8</v>
      </c>
      <c r="D66" t="s">
        <v>13</v>
      </c>
      <c r="E66" t="s">
        <v>14</v>
      </c>
      <c r="F66">
        <v>2</v>
      </c>
      <c r="G66">
        <v>460</v>
      </c>
      <c r="H66">
        <v>920</v>
      </c>
    </row>
    <row r="67" spans="1:8" x14ac:dyDescent="0.3">
      <c r="A67" t="s">
        <v>86</v>
      </c>
      <c r="B67" s="4">
        <v>45685</v>
      </c>
      <c r="C67" t="s">
        <v>25</v>
      </c>
      <c r="D67" t="s">
        <v>9</v>
      </c>
      <c r="E67" t="s">
        <v>10</v>
      </c>
      <c r="F67">
        <v>6</v>
      </c>
      <c r="G67">
        <v>38</v>
      </c>
      <c r="H67">
        <v>228</v>
      </c>
    </row>
    <row r="68" spans="1:8" x14ac:dyDescent="0.3">
      <c r="A68" t="s">
        <v>87</v>
      </c>
      <c r="B68" s="4">
        <v>45701</v>
      </c>
      <c r="C68" t="s">
        <v>25</v>
      </c>
      <c r="D68" t="s">
        <v>27</v>
      </c>
      <c r="E68" t="s">
        <v>18</v>
      </c>
      <c r="F68">
        <v>3</v>
      </c>
      <c r="G68">
        <v>762</v>
      </c>
      <c r="H68">
        <v>2286</v>
      </c>
    </row>
    <row r="69" spans="1:8" x14ac:dyDescent="0.3">
      <c r="A69" t="s">
        <v>88</v>
      </c>
      <c r="B69" s="4">
        <v>45681</v>
      </c>
      <c r="C69" t="s">
        <v>25</v>
      </c>
      <c r="D69" t="s">
        <v>17</v>
      </c>
      <c r="E69" t="s">
        <v>18</v>
      </c>
      <c r="F69">
        <v>2</v>
      </c>
      <c r="G69">
        <v>96</v>
      </c>
      <c r="H69">
        <v>192</v>
      </c>
    </row>
    <row r="70" spans="1:8" x14ac:dyDescent="0.3">
      <c r="A70" t="s">
        <v>89</v>
      </c>
      <c r="B70" s="4">
        <v>45677</v>
      </c>
      <c r="C70" t="s">
        <v>25</v>
      </c>
      <c r="D70" t="s">
        <v>32</v>
      </c>
      <c r="E70" t="s">
        <v>18</v>
      </c>
      <c r="F70">
        <v>1</v>
      </c>
      <c r="G70">
        <v>685</v>
      </c>
      <c r="H70">
        <v>685</v>
      </c>
    </row>
    <row r="71" spans="1:8" x14ac:dyDescent="0.3">
      <c r="A71" t="s">
        <v>90</v>
      </c>
      <c r="B71" s="4">
        <v>45714</v>
      </c>
      <c r="C71" t="s">
        <v>25</v>
      </c>
      <c r="D71" t="s">
        <v>32</v>
      </c>
      <c r="E71" t="s">
        <v>18</v>
      </c>
      <c r="F71">
        <v>1</v>
      </c>
      <c r="G71">
        <v>44</v>
      </c>
      <c r="H71">
        <v>44</v>
      </c>
    </row>
    <row r="72" spans="1:8" x14ac:dyDescent="0.3">
      <c r="A72" t="s">
        <v>91</v>
      </c>
      <c r="B72" s="4">
        <v>45670</v>
      </c>
      <c r="C72" t="s">
        <v>12</v>
      </c>
      <c r="D72" t="s">
        <v>13</v>
      </c>
      <c r="E72" t="s">
        <v>14</v>
      </c>
      <c r="F72">
        <v>2</v>
      </c>
      <c r="G72">
        <v>295</v>
      </c>
      <c r="H72">
        <v>590</v>
      </c>
    </row>
    <row r="73" spans="1:8" x14ac:dyDescent="0.3">
      <c r="A73" t="s">
        <v>92</v>
      </c>
      <c r="B73" s="4">
        <v>45704</v>
      </c>
      <c r="C73" t="s">
        <v>29</v>
      </c>
      <c r="D73" t="s">
        <v>23</v>
      </c>
      <c r="E73" t="s">
        <v>10</v>
      </c>
      <c r="F73">
        <v>8</v>
      </c>
      <c r="G73">
        <v>292</v>
      </c>
      <c r="H73">
        <v>2336</v>
      </c>
    </row>
    <row r="74" spans="1:8" x14ac:dyDescent="0.3">
      <c r="A74" t="s">
        <v>93</v>
      </c>
      <c r="B74" s="4">
        <v>45702</v>
      </c>
      <c r="C74" t="s">
        <v>12</v>
      </c>
      <c r="D74" t="s">
        <v>17</v>
      </c>
      <c r="E74" t="s">
        <v>18</v>
      </c>
      <c r="F74">
        <v>3</v>
      </c>
      <c r="G74">
        <v>70</v>
      </c>
      <c r="H74">
        <v>210</v>
      </c>
    </row>
    <row r="75" spans="1:8" x14ac:dyDescent="0.3">
      <c r="A75" t="s">
        <v>94</v>
      </c>
      <c r="B75" s="4">
        <v>45661</v>
      </c>
      <c r="C75" t="s">
        <v>25</v>
      </c>
      <c r="D75" t="s">
        <v>9</v>
      </c>
      <c r="E75" t="s">
        <v>10</v>
      </c>
      <c r="F75">
        <v>5</v>
      </c>
      <c r="G75">
        <v>656</v>
      </c>
      <c r="H75">
        <v>3280</v>
      </c>
    </row>
    <row r="76" spans="1:8" x14ac:dyDescent="0.3">
      <c r="A76" t="s">
        <v>95</v>
      </c>
      <c r="B76" s="4">
        <v>45659</v>
      </c>
      <c r="C76" t="s">
        <v>25</v>
      </c>
      <c r="D76" t="s">
        <v>30</v>
      </c>
      <c r="E76" t="s">
        <v>18</v>
      </c>
      <c r="F76">
        <v>3</v>
      </c>
      <c r="G76">
        <v>452</v>
      </c>
      <c r="H76">
        <v>1356</v>
      </c>
    </row>
    <row r="77" spans="1:8" x14ac:dyDescent="0.3">
      <c r="A77" t="s">
        <v>96</v>
      </c>
      <c r="B77" s="4">
        <v>45671</v>
      </c>
      <c r="C77" t="s">
        <v>12</v>
      </c>
      <c r="D77" t="s">
        <v>17</v>
      </c>
      <c r="E77" t="s">
        <v>18</v>
      </c>
      <c r="F77">
        <v>5</v>
      </c>
      <c r="G77">
        <v>391</v>
      </c>
      <c r="H77">
        <v>1955</v>
      </c>
    </row>
    <row r="78" spans="1:8" x14ac:dyDescent="0.3">
      <c r="A78" t="s">
        <v>97</v>
      </c>
      <c r="B78" s="4">
        <v>45704</v>
      </c>
      <c r="C78" t="s">
        <v>12</v>
      </c>
      <c r="D78" t="s">
        <v>17</v>
      </c>
      <c r="E78" t="s">
        <v>18</v>
      </c>
      <c r="F78">
        <v>2</v>
      </c>
      <c r="G78">
        <v>290</v>
      </c>
      <c r="H78">
        <v>580</v>
      </c>
    </row>
    <row r="79" spans="1:8" x14ac:dyDescent="0.3">
      <c r="A79" t="s">
        <v>98</v>
      </c>
      <c r="B79" s="4">
        <v>45667</v>
      </c>
      <c r="C79" t="s">
        <v>8</v>
      </c>
      <c r="D79" t="s">
        <v>9</v>
      </c>
      <c r="E79" t="s">
        <v>10</v>
      </c>
      <c r="F79">
        <v>6</v>
      </c>
      <c r="G79">
        <v>855</v>
      </c>
      <c r="H79">
        <v>5130</v>
      </c>
    </row>
    <row r="80" spans="1:8" x14ac:dyDescent="0.3">
      <c r="A80" t="s">
        <v>99</v>
      </c>
      <c r="B80" s="4">
        <v>45658</v>
      </c>
      <c r="C80" t="s">
        <v>8</v>
      </c>
      <c r="D80" t="s">
        <v>27</v>
      </c>
      <c r="E80" t="s">
        <v>18</v>
      </c>
      <c r="F80">
        <v>4</v>
      </c>
      <c r="G80">
        <v>295</v>
      </c>
      <c r="H80">
        <v>1180</v>
      </c>
    </row>
    <row r="81" spans="1:8" x14ac:dyDescent="0.3">
      <c r="A81" t="s">
        <v>100</v>
      </c>
      <c r="B81" s="4">
        <v>45715</v>
      </c>
      <c r="C81" t="s">
        <v>29</v>
      </c>
      <c r="D81" t="s">
        <v>30</v>
      </c>
      <c r="E81" t="s">
        <v>18</v>
      </c>
      <c r="F81">
        <v>4</v>
      </c>
      <c r="G81">
        <v>824</v>
      </c>
      <c r="H81">
        <v>3296</v>
      </c>
    </row>
    <row r="82" spans="1:8" x14ac:dyDescent="0.3">
      <c r="A82" t="s">
        <v>101</v>
      </c>
      <c r="B82" s="4">
        <v>45683</v>
      </c>
      <c r="C82" t="s">
        <v>25</v>
      </c>
      <c r="D82" t="s">
        <v>17</v>
      </c>
      <c r="E82" t="s">
        <v>18</v>
      </c>
      <c r="F82">
        <v>1</v>
      </c>
      <c r="G82">
        <v>715</v>
      </c>
      <c r="H82">
        <v>715</v>
      </c>
    </row>
    <row r="83" spans="1:8" x14ac:dyDescent="0.3">
      <c r="A83" t="s">
        <v>102</v>
      </c>
      <c r="B83" s="4">
        <v>45680</v>
      </c>
      <c r="C83" t="s">
        <v>8</v>
      </c>
      <c r="D83" t="s">
        <v>27</v>
      </c>
      <c r="E83" t="s">
        <v>18</v>
      </c>
      <c r="F83">
        <v>5</v>
      </c>
      <c r="G83">
        <v>380</v>
      </c>
      <c r="H83">
        <v>1900</v>
      </c>
    </row>
    <row r="84" spans="1:8" x14ac:dyDescent="0.3">
      <c r="A84" t="s">
        <v>103</v>
      </c>
      <c r="B84" s="4">
        <v>45673</v>
      </c>
      <c r="C84" t="s">
        <v>12</v>
      </c>
      <c r="D84" t="s">
        <v>32</v>
      </c>
      <c r="E84" t="s">
        <v>18</v>
      </c>
      <c r="F84">
        <v>9</v>
      </c>
      <c r="G84">
        <v>209</v>
      </c>
      <c r="H84">
        <v>1881</v>
      </c>
    </row>
    <row r="85" spans="1:8" x14ac:dyDescent="0.3">
      <c r="A85" t="s">
        <v>104</v>
      </c>
      <c r="B85" s="4">
        <v>45680</v>
      </c>
      <c r="C85" t="s">
        <v>8</v>
      </c>
      <c r="D85" t="s">
        <v>17</v>
      </c>
      <c r="E85" t="s">
        <v>18</v>
      </c>
      <c r="F85">
        <v>10</v>
      </c>
      <c r="G85">
        <v>724</v>
      </c>
      <c r="H85">
        <v>7240</v>
      </c>
    </row>
    <row r="86" spans="1:8" x14ac:dyDescent="0.3">
      <c r="A86" t="s">
        <v>105</v>
      </c>
      <c r="B86" s="4">
        <v>45669</v>
      </c>
      <c r="C86" t="s">
        <v>12</v>
      </c>
      <c r="D86" t="s">
        <v>30</v>
      </c>
      <c r="E86" t="s">
        <v>18</v>
      </c>
      <c r="F86">
        <v>6</v>
      </c>
      <c r="G86">
        <v>780</v>
      </c>
      <c r="H86">
        <v>4680</v>
      </c>
    </row>
    <row r="87" spans="1:8" x14ac:dyDescent="0.3">
      <c r="A87" t="s">
        <v>106</v>
      </c>
      <c r="B87" s="4">
        <v>45713</v>
      </c>
      <c r="C87" t="s">
        <v>12</v>
      </c>
      <c r="D87" t="s">
        <v>9</v>
      </c>
      <c r="E87" t="s">
        <v>10</v>
      </c>
      <c r="F87">
        <v>6</v>
      </c>
      <c r="G87">
        <v>239</v>
      </c>
      <c r="H87">
        <v>1434</v>
      </c>
    </row>
    <row r="88" spans="1:8" x14ac:dyDescent="0.3">
      <c r="A88" t="s">
        <v>107</v>
      </c>
      <c r="B88" s="4">
        <v>45682</v>
      </c>
      <c r="C88" t="s">
        <v>8</v>
      </c>
      <c r="D88" t="s">
        <v>27</v>
      </c>
      <c r="E88" t="s">
        <v>18</v>
      </c>
      <c r="F88">
        <v>9</v>
      </c>
      <c r="G88">
        <v>297</v>
      </c>
      <c r="H88">
        <v>2673</v>
      </c>
    </row>
    <row r="89" spans="1:8" x14ac:dyDescent="0.3">
      <c r="A89" t="s">
        <v>108</v>
      </c>
      <c r="B89" s="4">
        <v>45665</v>
      </c>
      <c r="C89" t="s">
        <v>12</v>
      </c>
      <c r="D89" t="s">
        <v>32</v>
      </c>
      <c r="E89" t="s">
        <v>18</v>
      </c>
      <c r="F89">
        <v>7</v>
      </c>
      <c r="G89">
        <v>473</v>
      </c>
      <c r="H89">
        <v>3311</v>
      </c>
    </row>
    <row r="90" spans="1:8" x14ac:dyDescent="0.3">
      <c r="A90" t="s">
        <v>109</v>
      </c>
      <c r="B90" s="4">
        <v>45702</v>
      </c>
      <c r="C90" t="s">
        <v>25</v>
      </c>
      <c r="D90" t="s">
        <v>30</v>
      </c>
      <c r="E90" t="s">
        <v>18</v>
      </c>
      <c r="F90">
        <v>8</v>
      </c>
      <c r="G90">
        <v>899</v>
      </c>
      <c r="H90">
        <v>7192</v>
      </c>
    </row>
    <row r="91" spans="1:8" x14ac:dyDescent="0.3">
      <c r="A91" t="s">
        <v>110</v>
      </c>
      <c r="B91" s="4">
        <v>45661</v>
      </c>
      <c r="C91" t="s">
        <v>29</v>
      </c>
      <c r="D91" t="s">
        <v>30</v>
      </c>
      <c r="E91" t="s">
        <v>18</v>
      </c>
      <c r="F91">
        <v>7</v>
      </c>
      <c r="G91">
        <v>71</v>
      </c>
      <c r="H91">
        <v>497</v>
      </c>
    </row>
    <row r="92" spans="1:8" x14ac:dyDescent="0.3">
      <c r="A92" t="s">
        <v>111</v>
      </c>
      <c r="B92" s="4">
        <v>45714</v>
      </c>
      <c r="C92" t="s">
        <v>29</v>
      </c>
      <c r="D92" t="s">
        <v>32</v>
      </c>
      <c r="E92" t="s">
        <v>18</v>
      </c>
      <c r="F92">
        <v>1</v>
      </c>
      <c r="G92">
        <v>684</v>
      </c>
      <c r="H92">
        <v>684</v>
      </c>
    </row>
    <row r="93" spans="1:8" x14ac:dyDescent="0.3">
      <c r="A93" t="s">
        <v>112</v>
      </c>
      <c r="B93" s="4">
        <v>45658</v>
      </c>
      <c r="C93" t="s">
        <v>12</v>
      </c>
      <c r="D93" t="s">
        <v>13</v>
      </c>
      <c r="E93" t="s">
        <v>14</v>
      </c>
      <c r="F93">
        <v>6</v>
      </c>
      <c r="G93">
        <v>284</v>
      </c>
      <c r="H93">
        <v>1704</v>
      </c>
    </row>
    <row r="94" spans="1:8" x14ac:dyDescent="0.3">
      <c r="A94" t="s">
        <v>113</v>
      </c>
      <c r="B94" s="4">
        <v>45693</v>
      </c>
      <c r="C94" t="s">
        <v>25</v>
      </c>
      <c r="D94" t="s">
        <v>32</v>
      </c>
      <c r="E94" t="s">
        <v>18</v>
      </c>
      <c r="F94">
        <v>2</v>
      </c>
      <c r="G94">
        <v>814</v>
      </c>
      <c r="H94">
        <v>1628</v>
      </c>
    </row>
    <row r="95" spans="1:8" x14ac:dyDescent="0.3">
      <c r="A95" t="s">
        <v>114</v>
      </c>
      <c r="B95" s="4">
        <v>45714</v>
      </c>
      <c r="C95" t="s">
        <v>29</v>
      </c>
      <c r="D95" t="s">
        <v>30</v>
      </c>
      <c r="E95" t="s">
        <v>18</v>
      </c>
      <c r="F95">
        <v>3</v>
      </c>
      <c r="G95">
        <v>750</v>
      </c>
      <c r="H95">
        <v>2250</v>
      </c>
    </row>
    <row r="96" spans="1:8" x14ac:dyDescent="0.3">
      <c r="A96" t="s">
        <v>115</v>
      </c>
      <c r="B96" s="4">
        <v>45706</v>
      </c>
      <c r="C96" t="s">
        <v>12</v>
      </c>
      <c r="D96" t="s">
        <v>13</v>
      </c>
      <c r="E96" t="s">
        <v>14</v>
      </c>
      <c r="F96">
        <v>6</v>
      </c>
      <c r="G96">
        <v>810</v>
      </c>
      <c r="H96">
        <v>4860</v>
      </c>
    </row>
    <row r="97" spans="1:8" x14ac:dyDescent="0.3">
      <c r="A97" t="s">
        <v>116</v>
      </c>
      <c r="B97" s="4">
        <v>45690</v>
      </c>
      <c r="C97" t="s">
        <v>12</v>
      </c>
      <c r="D97" t="s">
        <v>13</v>
      </c>
      <c r="E97" t="s">
        <v>14</v>
      </c>
      <c r="F97">
        <v>1</v>
      </c>
      <c r="G97">
        <v>505</v>
      </c>
      <c r="H97">
        <v>505</v>
      </c>
    </row>
    <row r="98" spans="1:8" x14ac:dyDescent="0.3">
      <c r="A98" t="s">
        <v>117</v>
      </c>
      <c r="B98" s="4">
        <v>45676</v>
      </c>
      <c r="C98" t="s">
        <v>29</v>
      </c>
      <c r="D98" t="s">
        <v>27</v>
      </c>
      <c r="E98" t="s">
        <v>18</v>
      </c>
      <c r="F98">
        <v>4</v>
      </c>
      <c r="G98">
        <v>257</v>
      </c>
      <c r="H98">
        <v>1028</v>
      </c>
    </row>
    <row r="99" spans="1:8" x14ac:dyDescent="0.3">
      <c r="A99" t="s">
        <v>118</v>
      </c>
      <c r="B99" s="4">
        <v>45690</v>
      </c>
      <c r="C99" t="s">
        <v>25</v>
      </c>
      <c r="D99" t="s">
        <v>17</v>
      </c>
      <c r="E99" t="s">
        <v>18</v>
      </c>
      <c r="F99">
        <v>6</v>
      </c>
      <c r="G99">
        <v>300</v>
      </c>
      <c r="H99">
        <v>1800</v>
      </c>
    </row>
    <row r="100" spans="1:8" x14ac:dyDescent="0.3">
      <c r="A100" t="s">
        <v>119</v>
      </c>
      <c r="B100" s="4">
        <v>45673</v>
      </c>
      <c r="C100" t="s">
        <v>25</v>
      </c>
      <c r="D100" t="s">
        <v>17</v>
      </c>
      <c r="E100" t="s">
        <v>18</v>
      </c>
      <c r="F100">
        <v>6</v>
      </c>
      <c r="G100">
        <v>65</v>
      </c>
      <c r="H100">
        <v>390</v>
      </c>
    </row>
    <row r="101" spans="1:8" x14ac:dyDescent="0.3">
      <c r="A101" t="s">
        <v>120</v>
      </c>
      <c r="B101" s="4">
        <v>45712</v>
      </c>
      <c r="C101" t="s">
        <v>25</v>
      </c>
      <c r="D101" t="s">
        <v>23</v>
      </c>
      <c r="E101" t="s">
        <v>10</v>
      </c>
      <c r="F101">
        <v>5</v>
      </c>
      <c r="G101">
        <v>340</v>
      </c>
      <c r="H101">
        <v>1700</v>
      </c>
    </row>
    <row r="102" spans="1:8" x14ac:dyDescent="0.3">
      <c r="A102" t="s">
        <v>121</v>
      </c>
      <c r="B102" s="4">
        <v>45702</v>
      </c>
      <c r="C102" t="s">
        <v>8</v>
      </c>
      <c r="D102" t="s">
        <v>30</v>
      </c>
      <c r="E102" t="s">
        <v>18</v>
      </c>
      <c r="F102">
        <v>6</v>
      </c>
      <c r="G102">
        <v>326</v>
      </c>
      <c r="H102">
        <v>1956</v>
      </c>
    </row>
    <row r="103" spans="1:8" x14ac:dyDescent="0.3">
      <c r="A103" t="s">
        <v>122</v>
      </c>
      <c r="B103" s="4">
        <v>45679</v>
      </c>
      <c r="C103" t="s">
        <v>25</v>
      </c>
      <c r="D103" t="s">
        <v>32</v>
      </c>
      <c r="E103" t="s">
        <v>18</v>
      </c>
      <c r="F103">
        <v>7</v>
      </c>
      <c r="G103">
        <v>146</v>
      </c>
      <c r="H103">
        <v>1022</v>
      </c>
    </row>
    <row r="104" spans="1:8" x14ac:dyDescent="0.3">
      <c r="A104" t="s">
        <v>123</v>
      </c>
      <c r="B104" s="4">
        <v>45709</v>
      </c>
      <c r="C104" t="s">
        <v>8</v>
      </c>
      <c r="D104" t="s">
        <v>27</v>
      </c>
      <c r="E104" t="s">
        <v>18</v>
      </c>
      <c r="F104">
        <v>7</v>
      </c>
      <c r="G104">
        <v>251</v>
      </c>
      <c r="H104">
        <v>1757</v>
      </c>
    </row>
    <row r="105" spans="1:8" x14ac:dyDescent="0.3">
      <c r="A105" t="s">
        <v>124</v>
      </c>
      <c r="B105" s="4">
        <v>45717</v>
      </c>
      <c r="C105" t="s">
        <v>25</v>
      </c>
      <c r="D105" t="s">
        <v>9</v>
      </c>
      <c r="E105" t="s">
        <v>10</v>
      </c>
      <c r="F105">
        <v>5</v>
      </c>
      <c r="G105">
        <v>303</v>
      </c>
      <c r="H105">
        <v>1515</v>
      </c>
    </row>
    <row r="106" spans="1:8" x14ac:dyDescent="0.3">
      <c r="A106" t="s">
        <v>125</v>
      </c>
      <c r="B106" s="4">
        <v>45715</v>
      </c>
      <c r="C106" t="s">
        <v>12</v>
      </c>
      <c r="D106" t="s">
        <v>13</v>
      </c>
      <c r="E106" t="s">
        <v>14</v>
      </c>
      <c r="F106">
        <v>7</v>
      </c>
      <c r="G106">
        <v>396</v>
      </c>
      <c r="H106">
        <v>2772</v>
      </c>
    </row>
    <row r="107" spans="1:8" x14ac:dyDescent="0.3">
      <c r="A107" t="s">
        <v>126</v>
      </c>
      <c r="B107" s="4">
        <v>45715</v>
      </c>
      <c r="C107" t="s">
        <v>12</v>
      </c>
      <c r="D107" t="s">
        <v>23</v>
      </c>
      <c r="E107" t="s">
        <v>10</v>
      </c>
      <c r="F107">
        <v>10</v>
      </c>
      <c r="G107">
        <v>46</v>
      </c>
      <c r="H107">
        <v>460</v>
      </c>
    </row>
    <row r="108" spans="1:8" x14ac:dyDescent="0.3">
      <c r="A108" t="s">
        <v>127</v>
      </c>
      <c r="B108" s="4">
        <v>45691</v>
      </c>
      <c r="C108" t="s">
        <v>25</v>
      </c>
      <c r="D108" t="s">
        <v>30</v>
      </c>
      <c r="E108" t="s">
        <v>18</v>
      </c>
      <c r="F108">
        <v>8</v>
      </c>
      <c r="G108">
        <v>873</v>
      </c>
      <c r="H108">
        <v>6984</v>
      </c>
    </row>
    <row r="109" spans="1:8" x14ac:dyDescent="0.3">
      <c r="A109" t="s">
        <v>128</v>
      </c>
      <c r="B109" s="4">
        <v>45679</v>
      </c>
      <c r="C109" t="s">
        <v>12</v>
      </c>
      <c r="D109" t="s">
        <v>13</v>
      </c>
      <c r="E109" t="s">
        <v>14</v>
      </c>
      <c r="F109">
        <v>8</v>
      </c>
      <c r="G109">
        <v>619</v>
      </c>
      <c r="H109">
        <v>4952</v>
      </c>
    </row>
    <row r="110" spans="1:8" x14ac:dyDescent="0.3">
      <c r="A110" t="s">
        <v>129</v>
      </c>
      <c r="B110" s="4">
        <v>45661</v>
      </c>
      <c r="C110" t="s">
        <v>8</v>
      </c>
      <c r="D110" t="s">
        <v>13</v>
      </c>
      <c r="E110" t="s">
        <v>14</v>
      </c>
      <c r="F110">
        <v>6</v>
      </c>
      <c r="G110">
        <v>437</v>
      </c>
      <c r="H110">
        <v>2622</v>
      </c>
    </row>
    <row r="111" spans="1:8" x14ac:dyDescent="0.3">
      <c r="A111" t="s">
        <v>130</v>
      </c>
      <c r="B111" s="4">
        <v>45689</v>
      </c>
      <c r="C111" t="s">
        <v>29</v>
      </c>
      <c r="D111" t="s">
        <v>30</v>
      </c>
      <c r="E111" t="s">
        <v>18</v>
      </c>
      <c r="F111">
        <v>9</v>
      </c>
      <c r="G111">
        <v>809</v>
      </c>
      <c r="H111">
        <v>7281</v>
      </c>
    </row>
    <row r="112" spans="1:8" x14ac:dyDescent="0.3">
      <c r="A112" t="s">
        <v>131</v>
      </c>
      <c r="B112" s="4">
        <v>45674</v>
      </c>
      <c r="C112" t="s">
        <v>29</v>
      </c>
      <c r="D112" t="s">
        <v>9</v>
      </c>
      <c r="E112" t="s">
        <v>10</v>
      </c>
      <c r="F112">
        <v>2</v>
      </c>
      <c r="G112">
        <v>551</v>
      </c>
      <c r="H112">
        <v>1102</v>
      </c>
    </row>
    <row r="113" spans="1:8" x14ac:dyDescent="0.3">
      <c r="A113" t="s">
        <v>132</v>
      </c>
      <c r="B113" s="4">
        <v>45661</v>
      </c>
      <c r="C113" t="s">
        <v>29</v>
      </c>
      <c r="D113" t="s">
        <v>30</v>
      </c>
      <c r="E113" t="s">
        <v>18</v>
      </c>
      <c r="F113">
        <v>6</v>
      </c>
      <c r="G113">
        <v>362</v>
      </c>
      <c r="H113">
        <v>2172</v>
      </c>
    </row>
    <row r="114" spans="1:8" x14ac:dyDescent="0.3">
      <c r="A114" t="s">
        <v>133</v>
      </c>
      <c r="B114" s="4">
        <v>45677</v>
      </c>
      <c r="C114" t="s">
        <v>25</v>
      </c>
      <c r="D114" t="s">
        <v>17</v>
      </c>
      <c r="E114" t="s">
        <v>18</v>
      </c>
      <c r="F114">
        <v>5</v>
      </c>
      <c r="G114">
        <v>328</v>
      </c>
      <c r="H114">
        <v>1640</v>
      </c>
    </row>
    <row r="115" spans="1:8" x14ac:dyDescent="0.3">
      <c r="A115" t="s">
        <v>134</v>
      </c>
      <c r="B115" s="4">
        <v>45708</v>
      </c>
      <c r="C115" t="s">
        <v>29</v>
      </c>
      <c r="D115" t="s">
        <v>32</v>
      </c>
      <c r="E115" t="s">
        <v>18</v>
      </c>
      <c r="F115">
        <v>6</v>
      </c>
      <c r="G115">
        <v>389</v>
      </c>
      <c r="H115">
        <v>2334</v>
      </c>
    </row>
    <row r="116" spans="1:8" x14ac:dyDescent="0.3">
      <c r="A116" t="s">
        <v>135</v>
      </c>
      <c r="B116" s="4">
        <v>45675</v>
      </c>
      <c r="C116" t="s">
        <v>8</v>
      </c>
      <c r="D116" t="s">
        <v>17</v>
      </c>
      <c r="E116" t="s">
        <v>18</v>
      </c>
      <c r="F116">
        <v>7</v>
      </c>
      <c r="G116">
        <v>54</v>
      </c>
      <c r="H116">
        <v>378</v>
      </c>
    </row>
    <row r="117" spans="1:8" x14ac:dyDescent="0.3">
      <c r="A117" t="s">
        <v>136</v>
      </c>
      <c r="B117" s="4">
        <v>45701</v>
      </c>
      <c r="C117" t="s">
        <v>8</v>
      </c>
      <c r="D117" t="s">
        <v>23</v>
      </c>
      <c r="E117" t="s">
        <v>10</v>
      </c>
      <c r="F117">
        <v>3</v>
      </c>
      <c r="G117">
        <v>345</v>
      </c>
      <c r="H117">
        <v>1035</v>
      </c>
    </row>
    <row r="118" spans="1:8" x14ac:dyDescent="0.3">
      <c r="A118" t="s">
        <v>137</v>
      </c>
      <c r="B118" s="4">
        <v>45704</v>
      </c>
      <c r="C118" t="s">
        <v>12</v>
      </c>
      <c r="D118" t="s">
        <v>32</v>
      </c>
      <c r="E118" t="s">
        <v>18</v>
      </c>
      <c r="F118">
        <v>9</v>
      </c>
      <c r="G118">
        <v>863</v>
      </c>
      <c r="H118">
        <v>7767</v>
      </c>
    </row>
    <row r="119" spans="1:8" x14ac:dyDescent="0.3">
      <c r="A119" t="s">
        <v>138</v>
      </c>
      <c r="B119" s="4">
        <v>45711</v>
      </c>
      <c r="C119" t="s">
        <v>29</v>
      </c>
      <c r="D119" t="s">
        <v>13</v>
      </c>
      <c r="E119" t="s">
        <v>14</v>
      </c>
      <c r="F119">
        <v>6</v>
      </c>
      <c r="G119">
        <v>311</v>
      </c>
      <c r="H119">
        <v>1866</v>
      </c>
    </row>
    <row r="120" spans="1:8" x14ac:dyDescent="0.3">
      <c r="A120" t="s">
        <v>139</v>
      </c>
      <c r="B120" s="4">
        <v>45672</v>
      </c>
      <c r="C120" t="s">
        <v>25</v>
      </c>
      <c r="D120" t="s">
        <v>13</v>
      </c>
      <c r="E120" t="s">
        <v>14</v>
      </c>
      <c r="F120">
        <v>9</v>
      </c>
      <c r="G120">
        <v>417</v>
      </c>
      <c r="H120">
        <v>3753</v>
      </c>
    </row>
    <row r="121" spans="1:8" x14ac:dyDescent="0.3">
      <c r="A121" t="s">
        <v>140</v>
      </c>
      <c r="B121" s="4">
        <v>45699</v>
      </c>
      <c r="C121" t="s">
        <v>29</v>
      </c>
      <c r="D121" t="s">
        <v>9</v>
      </c>
      <c r="E121" t="s">
        <v>10</v>
      </c>
      <c r="F121">
        <v>1</v>
      </c>
      <c r="G121">
        <v>747</v>
      </c>
      <c r="H121">
        <v>747</v>
      </c>
    </row>
    <row r="122" spans="1:8" x14ac:dyDescent="0.3">
      <c r="A122" t="s">
        <v>141</v>
      </c>
      <c r="B122" s="4">
        <v>45680</v>
      </c>
      <c r="C122" t="s">
        <v>25</v>
      </c>
      <c r="D122" t="s">
        <v>27</v>
      </c>
      <c r="E122" t="s">
        <v>18</v>
      </c>
      <c r="F122">
        <v>10</v>
      </c>
      <c r="G122">
        <v>713</v>
      </c>
      <c r="H122">
        <v>7130</v>
      </c>
    </row>
    <row r="123" spans="1:8" x14ac:dyDescent="0.3">
      <c r="A123" t="s">
        <v>142</v>
      </c>
      <c r="B123" s="4">
        <v>45702</v>
      </c>
      <c r="C123" t="s">
        <v>8</v>
      </c>
      <c r="D123" t="s">
        <v>32</v>
      </c>
      <c r="E123" t="s">
        <v>18</v>
      </c>
      <c r="F123">
        <v>7</v>
      </c>
      <c r="G123">
        <v>280</v>
      </c>
      <c r="H123">
        <v>1960</v>
      </c>
    </row>
    <row r="124" spans="1:8" x14ac:dyDescent="0.3">
      <c r="A124" t="s">
        <v>143</v>
      </c>
      <c r="B124" s="4">
        <v>45704</v>
      </c>
      <c r="C124" t="s">
        <v>25</v>
      </c>
      <c r="D124" t="s">
        <v>13</v>
      </c>
      <c r="E124" t="s">
        <v>14</v>
      </c>
      <c r="F124">
        <v>2</v>
      </c>
      <c r="G124">
        <v>241</v>
      </c>
      <c r="H124">
        <v>482</v>
      </c>
    </row>
    <row r="125" spans="1:8" x14ac:dyDescent="0.3">
      <c r="A125" t="s">
        <v>144</v>
      </c>
      <c r="B125" s="4">
        <v>45675</v>
      </c>
      <c r="C125" t="s">
        <v>25</v>
      </c>
      <c r="D125" t="s">
        <v>32</v>
      </c>
      <c r="E125" t="s">
        <v>18</v>
      </c>
      <c r="F125">
        <v>10</v>
      </c>
      <c r="G125">
        <v>40</v>
      </c>
      <c r="H125">
        <v>400</v>
      </c>
    </row>
    <row r="126" spans="1:8" x14ac:dyDescent="0.3">
      <c r="A126" t="s">
        <v>145</v>
      </c>
      <c r="B126" s="4">
        <v>45687</v>
      </c>
      <c r="C126" t="s">
        <v>12</v>
      </c>
      <c r="D126" t="s">
        <v>23</v>
      </c>
      <c r="E126" t="s">
        <v>10</v>
      </c>
      <c r="F126">
        <v>9</v>
      </c>
      <c r="G126">
        <v>99</v>
      </c>
      <c r="H126">
        <v>891</v>
      </c>
    </row>
    <row r="127" spans="1:8" x14ac:dyDescent="0.3">
      <c r="A127" t="s">
        <v>146</v>
      </c>
      <c r="B127" s="4">
        <v>45662</v>
      </c>
      <c r="C127" t="s">
        <v>29</v>
      </c>
      <c r="D127" t="s">
        <v>13</v>
      </c>
      <c r="E127" t="s">
        <v>14</v>
      </c>
      <c r="F127">
        <v>9</v>
      </c>
      <c r="G127">
        <v>307</v>
      </c>
      <c r="H127">
        <v>2763</v>
      </c>
    </row>
    <row r="128" spans="1:8" x14ac:dyDescent="0.3">
      <c r="A128" t="s">
        <v>147</v>
      </c>
      <c r="B128" s="4">
        <v>45715</v>
      </c>
      <c r="C128" t="s">
        <v>29</v>
      </c>
      <c r="D128" t="s">
        <v>30</v>
      </c>
      <c r="E128" t="s">
        <v>18</v>
      </c>
      <c r="F128">
        <v>3</v>
      </c>
      <c r="G128">
        <v>682</v>
      </c>
      <c r="H128">
        <v>2046</v>
      </c>
    </row>
    <row r="129" spans="1:8" x14ac:dyDescent="0.3">
      <c r="A129" t="s">
        <v>148</v>
      </c>
      <c r="B129" s="4">
        <v>45688</v>
      </c>
      <c r="C129" t="s">
        <v>25</v>
      </c>
      <c r="D129" t="s">
        <v>30</v>
      </c>
      <c r="E129" t="s">
        <v>18</v>
      </c>
      <c r="F129">
        <v>3</v>
      </c>
      <c r="G129">
        <v>544</v>
      </c>
      <c r="H129">
        <v>1632</v>
      </c>
    </row>
    <row r="130" spans="1:8" x14ac:dyDescent="0.3">
      <c r="A130" t="s">
        <v>149</v>
      </c>
      <c r="B130" s="4">
        <v>45687</v>
      </c>
      <c r="C130" t="s">
        <v>8</v>
      </c>
      <c r="D130" t="s">
        <v>30</v>
      </c>
      <c r="E130" t="s">
        <v>18</v>
      </c>
      <c r="F130">
        <v>5</v>
      </c>
      <c r="G130">
        <v>141</v>
      </c>
      <c r="H130">
        <v>705</v>
      </c>
    </row>
    <row r="131" spans="1:8" x14ac:dyDescent="0.3">
      <c r="A131" t="s">
        <v>150</v>
      </c>
      <c r="B131" s="4">
        <v>45687</v>
      </c>
      <c r="C131" t="s">
        <v>12</v>
      </c>
      <c r="D131" t="s">
        <v>23</v>
      </c>
      <c r="E131" t="s">
        <v>10</v>
      </c>
      <c r="F131">
        <v>2</v>
      </c>
      <c r="G131">
        <v>724</v>
      </c>
      <c r="H131">
        <v>1448</v>
      </c>
    </row>
    <row r="132" spans="1:8" x14ac:dyDescent="0.3">
      <c r="A132" t="s">
        <v>151</v>
      </c>
      <c r="B132" s="4">
        <v>45713</v>
      </c>
      <c r="C132" t="s">
        <v>29</v>
      </c>
      <c r="D132" t="s">
        <v>27</v>
      </c>
      <c r="E132" t="s">
        <v>18</v>
      </c>
      <c r="F132">
        <v>2</v>
      </c>
      <c r="G132">
        <v>793</v>
      </c>
      <c r="H132">
        <v>1586</v>
      </c>
    </row>
    <row r="133" spans="1:8" x14ac:dyDescent="0.3">
      <c r="A133" t="s">
        <v>152</v>
      </c>
      <c r="B133" s="4">
        <v>45688</v>
      </c>
      <c r="C133" t="s">
        <v>12</v>
      </c>
      <c r="D133" t="s">
        <v>32</v>
      </c>
      <c r="E133" t="s">
        <v>18</v>
      </c>
      <c r="F133">
        <v>2</v>
      </c>
      <c r="G133">
        <v>554</v>
      </c>
      <c r="H133">
        <v>1108</v>
      </c>
    </row>
    <row r="134" spans="1:8" x14ac:dyDescent="0.3">
      <c r="A134" t="s">
        <v>153</v>
      </c>
      <c r="B134" s="4">
        <v>45661</v>
      </c>
      <c r="C134" t="s">
        <v>29</v>
      </c>
      <c r="D134" t="s">
        <v>32</v>
      </c>
      <c r="E134" t="s">
        <v>18</v>
      </c>
      <c r="F134">
        <v>4</v>
      </c>
      <c r="G134">
        <v>743</v>
      </c>
      <c r="H134">
        <v>2972</v>
      </c>
    </row>
    <row r="135" spans="1:8" x14ac:dyDescent="0.3">
      <c r="A135" t="s">
        <v>154</v>
      </c>
      <c r="B135" s="4">
        <v>45703</v>
      </c>
      <c r="C135" t="s">
        <v>12</v>
      </c>
      <c r="D135" t="s">
        <v>17</v>
      </c>
      <c r="E135" t="s">
        <v>18</v>
      </c>
      <c r="F135">
        <v>3</v>
      </c>
      <c r="G135">
        <v>193</v>
      </c>
      <c r="H135">
        <v>579</v>
      </c>
    </row>
    <row r="136" spans="1:8" x14ac:dyDescent="0.3">
      <c r="A136" t="s">
        <v>155</v>
      </c>
      <c r="B136" s="4">
        <v>45707</v>
      </c>
      <c r="C136" t="s">
        <v>8</v>
      </c>
      <c r="D136" t="s">
        <v>32</v>
      </c>
      <c r="E136" t="s">
        <v>18</v>
      </c>
      <c r="F136">
        <v>1</v>
      </c>
      <c r="G136">
        <v>851</v>
      </c>
      <c r="H136">
        <v>851</v>
      </c>
    </row>
    <row r="137" spans="1:8" x14ac:dyDescent="0.3">
      <c r="A137" t="s">
        <v>156</v>
      </c>
      <c r="B137" s="4">
        <v>45693</v>
      </c>
      <c r="C137" t="s">
        <v>8</v>
      </c>
      <c r="D137" t="s">
        <v>17</v>
      </c>
      <c r="E137" t="s">
        <v>18</v>
      </c>
      <c r="F137">
        <v>5</v>
      </c>
      <c r="G137">
        <v>448</v>
      </c>
      <c r="H137">
        <v>2240</v>
      </c>
    </row>
    <row r="138" spans="1:8" x14ac:dyDescent="0.3">
      <c r="A138" t="s">
        <v>157</v>
      </c>
      <c r="B138" s="4">
        <v>45665</v>
      </c>
      <c r="C138" t="s">
        <v>25</v>
      </c>
      <c r="D138" t="s">
        <v>17</v>
      </c>
      <c r="E138" t="s">
        <v>18</v>
      </c>
      <c r="F138">
        <v>9</v>
      </c>
      <c r="G138">
        <v>231</v>
      </c>
      <c r="H138">
        <v>2079</v>
      </c>
    </row>
    <row r="139" spans="1:8" x14ac:dyDescent="0.3">
      <c r="A139" t="s">
        <v>158</v>
      </c>
      <c r="B139" s="4">
        <v>45661</v>
      </c>
      <c r="C139" t="s">
        <v>25</v>
      </c>
      <c r="D139" t="s">
        <v>17</v>
      </c>
      <c r="E139" t="s">
        <v>18</v>
      </c>
      <c r="F139">
        <v>8</v>
      </c>
      <c r="G139">
        <v>191</v>
      </c>
      <c r="H139">
        <v>1528</v>
      </c>
    </row>
    <row r="140" spans="1:8" x14ac:dyDescent="0.3">
      <c r="A140" t="s">
        <v>159</v>
      </c>
      <c r="B140" s="4">
        <v>45665</v>
      </c>
      <c r="C140" t="s">
        <v>29</v>
      </c>
      <c r="D140" t="s">
        <v>17</v>
      </c>
      <c r="E140" t="s">
        <v>18</v>
      </c>
      <c r="F140">
        <v>5</v>
      </c>
      <c r="G140">
        <v>479</v>
      </c>
      <c r="H140">
        <v>2395</v>
      </c>
    </row>
    <row r="141" spans="1:8" x14ac:dyDescent="0.3">
      <c r="A141" t="s">
        <v>160</v>
      </c>
      <c r="B141" s="4">
        <v>45701</v>
      </c>
      <c r="C141" t="s">
        <v>25</v>
      </c>
      <c r="D141" t="s">
        <v>9</v>
      </c>
      <c r="E141" t="s">
        <v>10</v>
      </c>
      <c r="F141">
        <v>9</v>
      </c>
      <c r="G141">
        <v>308</v>
      </c>
      <c r="H141">
        <v>2772</v>
      </c>
    </row>
    <row r="142" spans="1:8" x14ac:dyDescent="0.3">
      <c r="A142" t="s">
        <v>161</v>
      </c>
      <c r="B142" s="4">
        <v>45664</v>
      </c>
      <c r="C142" t="s">
        <v>8</v>
      </c>
      <c r="D142" t="s">
        <v>9</v>
      </c>
      <c r="E142" t="s">
        <v>10</v>
      </c>
      <c r="F142">
        <v>3</v>
      </c>
      <c r="G142">
        <v>292</v>
      </c>
      <c r="H142">
        <v>876</v>
      </c>
    </row>
    <row r="143" spans="1:8" x14ac:dyDescent="0.3">
      <c r="A143" t="s">
        <v>162</v>
      </c>
      <c r="B143" s="4">
        <v>45660</v>
      </c>
      <c r="C143" t="s">
        <v>12</v>
      </c>
      <c r="D143" t="s">
        <v>9</v>
      </c>
      <c r="E143" t="s">
        <v>10</v>
      </c>
      <c r="F143">
        <v>5</v>
      </c>
      <c r="G143">
        <v>493</v>
      </c>
      <c r="H143">
        <v>2465</v>
      </c>
    </row>
    <row r="144" spans="1:8" x14ac:dyDescent="0.3">
      <c r="A144" t="s">
        <v>163</v>
      </c>
      <c r="B144" s="4">
        <v>45685</v>
      </c>
      <c r="C144" t="s">
        <v>25</v>
      </c>
      <c r="D144" t="s">
        <v>23</v>
      </c>
      <c r="E144" t="s">
        <v>10</v>
      </c>
      <c r="F144">
        <v>2</v>
      </c>
      <c r="G144">
        <v>645</v>
      </c>
      <c r="H144">
        <v>1290</v>
      </c>
    </row>
    <row r="145" spans="1:8" x14ac:dyDescent="0.3">
      <c r="A145" t="s">
        <v>164</v>
      </c>
      <c r="B145" s="4">
        <v>45701</v>
      </c>
      <c r="C145" t="s">
        <v>25</v>
      </c>
      <c r="D145" t="s">
        <v>27</v>
      </c>
      <c r="E145" t="s">
        <v>18</v>
      </c>
      <c r="F145">
        <v>7</v>
      </c>
      <c r="G145">
        <v>851</v>
      </c>
      <c r="H145">
        <v>5957</v>
      </c>
    </row>
    <row r="146" spans="1:8" x14ac:dyDescent="0.3">
      <c r="A146" t="s">
        <v>165</v>
      </c>
      <c r="B146" s="4">
        <v>45699</v>
      </c>
      <c r="C146" t="s">
        <v>8</v>
      </c>
      <c r="D146" t="s">
        <v>13</v>
      </c>
      <c r="E146" t="s">
        <v>14</v>
      </c>
      <c r="F146">
        <v>8</v>
      </c>
      <c r="G146">
        <v>497</v>
      </c>
      <c r="H146">
        <v>3976</v>
      </c>
    </row>
    <row r="147" spans="1:8" x14ac:dyDescent="0.3">
      <c r="A147" t="s">
        <v>166</v>
      </c>
      <c r="B147" s="4">
        <v>45700</v>
      </c>
      <c r="C147" t="s">
        <v>8</v>
      </c>
      <c r="D147" t="s">
        <v>23</v>
      </c>
      <c r="E147" t="s">
        <v>10</v>
      </c>
      <c r="F147">
        <v>2</v>
      </c>
      <c r="G147">
        <v>722</v>
      </c>
      <c r="H147">
        <v>1444</v>
      </c>
    </row>
    <row r="148" spans="1:8" x14ac:dyDescent="0.3">
      <c r="A148" t="s">
        <v>167</v>
      </c>
      <c r="B148" s="4">
        <v>45659</v>
      </c>
      <c r="C148" t="s">
        <v>12</v>
      </c>
      <c r="D148" t="s">
        <v>13</v>
      </c>
      <c r="E148" t="s">
        <v>14</v>
      </c>
      <c r="F148">
        <v>3</v>
      </c>
      <c r="G148">
        <v>332</v>
      </c>
      <c r="H148">
        <v>996</v>
      </c>
    </row>
    <row r="149" spans="1:8" x14ac:dyDescent="0.3">
      <c r="A149" t="s">
        <v>168</v>
      </c>
      <c r="B149" s="4">
        <v>45695</v>
      </c>
      <c r="C149" t="s">
        <v>25</v>
      </c>
      <c r="D149" t="s">
        <v>17</v>
      </c>
      <c r="E149" t="s">
        <v>18</v>
      </c>
      <c r="F149">
        <v>5</v>
      </c>
      <c r="G149">
        <v>90</v>
      </c>
      <c r="H149">
        <v>450</v>
      </c>
    </row>
    <row r="150" spans="1:8" x14ac:dyDescent="0.3">
      <c r="A150" t="s">
        <v>169</v>
      </c>
      <c r="B150" s="4">
        <v>45670</v>
      </c>
      <c r="C150" t="s">
        <v>29</v>
      </c>
      <c r="D150" t="s">
        <v>32</v>
      </c>
      <c r="E150" t="s">
        <v>18</v>
      </c>
      <c r="F150">
        <v>4</v>
      </c>
      <c r="G150">
        <v>328</v>
      </c>
      <c r="H150">
        <v>1312</v>
      </c>
    </row>
    <row r="151" spans="1:8" x14ac:dyDescent="0.3">
      <c r="A151" t="s">
        <v>170</v>
      </c>
      <c r="B151" s="4">
        <v>45713</v>
      </c>
      <c r="C151" t="s">
        <v>29</v>
      </c>
      <c r="D151" t="s">
        <v>13</v>
      </c>
      <c r="E151" t="s">
        <v>14</v>
      </c>
      <c r="F151">
        <v>4</v>
      </c>
      <c r="G151">
        <v>865</v>
      </c>
      <c r="H151">
        <v>3460</v>
      </c>
    </row>
    <row r="152" spans="1:8" x14ac:dyDescent="0.3">
      <c r="A152" t="s">
        <v>171</v>
      </c>
      <c r="B152" s="4">
        <v>45676</v>
      </c>
      <c r="C152" t="s">
        <v>12</v>
      </c>
      <c r="D152" t="s">
        <v>32</v>
      </c>
      <c r="E152" t="s">
        <v>18</v>
      </c>
      <c r="F152">
        <v>9</v>
      </c>
      <c r="G152">
        <v>237</v>
      </c>
      <c r="H152">
        <v>2133</v>
      </c>
    </row>
    <row r="153" spans="1:8" x14ac:dyDescent="0.3">
      <c r="A153" t="s">
        <v>172</v>
      </c>
      <c r="B153" s="4">
        <v>45702</v>
      </c>
      <c r="C153" t="s">
        <v>8</v>
      </c>
      <c r="D153" t="s">
        <v>9</v>
      </c>
      <c r="E153" t="s">
        <v>10</v>
      </c>
      <c r="F153">
        <v>6</v>
      </c>
      <c r="G153">
        <v>438</v>
      </c>
      <c r="H153">
        <v>2628</v>
      </c>
    </row>
    <row r="154" spans="1:8" x14ac:dyDescent="0.3">
      <c r="A154" t="s">
        <v>173</v>
      </c>
      <c r="B154" s="4">
        <v>45715</v>
      </c>
      <c r="C154" t="s">
        <v>8</v>
      </c>
      <c r="D154" t="s">
        <v>17</v>
      </c>
      <c r="E154" t="s">
        <v>18</v>
      </c>
      <c r="F154">
        <v>4</v>
      </c>
      <c r="G154">
        <v>528</v>
      </c>
      <c r="H154">
        <v>2112</v>
      </c>
    </row>
    <row r="155" spans="1:8" x14ac:dyDescent="0.3">
      <c r="A155" t="s">
        <v>174</v>
      </c>
      <c r="B155" s="4">
        <v>45684</v>
      </c>
      <c r="C155" t="s">
        <v>29</v>
      </c>
      <c r="D155" t="s">
        <v>9</v>
      </c>
      <c r="E155" t="s">
        <v>10</v>
      </c>
      <c r="F155">
        <v>7</v>
      </c>
      <c r="G155">
        <v>719</v>
      </c>
      <c r="H155">
        <v>5033</v>
      </c>
    </row>
    <row r="156" spans="1:8" x14ac:dyDescent="0.3">
      <c r="A156" t="s">
        <v>175</v>
      </c>
      <c r="B156" s="4">
        <v>45717</v>
      </c>
      <c r="C156" t="s">
        <v>25</v>
      </c>
      <c r="D156" t="s">
        <v>13</v>
      </c>
      <c r="E156" t="s">
        <v>14</v>
      </c>
      <c r="F156">
        <v>5</v>
      </c>
      <c r="G156">
        <v>207</v>
      </c>
      <c r="H156">
        <v>1035</v>
      </c>
    </row>
    <row r="157" spans="1:8" x14ac:dyDescent="0.3">
      <c r="A157" t="s">
        <v>176</v>
      </c>
      <c r="B157" s="4">
        <v>45658</v>
      </c>
      <c r="C157" t="s">
        <v>8</v>
      </c>
      <c r="D157" t="s">
        <v>13</v>
      </c>
      <c r="E157" t="s">
        <v>14</v>
      </c>
      <c r="F157">
        <v>7</v>
      </c>
      <c r="G157">
        <v>271</v>
      </c>
      <c r="H157">
        <v>1897</v>
      </c>
    </row>
    <row r="158" spans="1:8" x14ac:dyDescent="0.3">
      <c r="A158" t="s">
        <v>177</v>
      </c>
      <c r="B158" s="4">
        <v>45666</v>
      </c>
      <c r="C158" t="s">
        <v>29</v>
      </c>
      <c r="D158" t="s">
        <v>23</v>
      </c>
      <c r="E158" t="s">
        <v>10</v>
      </c>
      <c r="F158">
        <v>7</v>
      </c>
      <c r="G158">
        <v>717</v>
      </c>
      <c r="H158">
        <v>5019</v>
      </c>
    </row>
    <row r="159" spans="1:8" x14ac:dyDescent="0.3">
      <c r="A159" t="s">
        <v>178</v>
      </c>
      <c r="B159" s="4">
        <v>45715</v>
      </c>
      <c r="C159" t="s">
        <v>29</v>
      </c>
      <c r="D159" t="s">
        <v>23</v>
      </c>
      <c r="E159" t="s">
        <v>10</v>
      </c>
      <c r="F159">
        <v>5</v>
      </c>
      <c r="G159">
        <v>145</v>
      </c>
      <c r="H159">
        <v>725</v>
      </c>
    </row>
    <row r="160" spans="1:8" x14ac:dyDescent="0.3">
      <c r="A160" t="s">
        <v>179</v>
      </c>
      <c r="B160" s="4">
        <v>45700</v>
      </c>
      <c r="C160" t="s">
        <v>29</v>
      </c>
      <c r="D160" t="s">
        <v>17</v>
      </c>
      <c r="E160" t="s">
        <v>18</v>
      </c>
      <c r="F160">
        <v>7</v>
      </c>
      <c r="G160">
        <v>234</v>
      </c>
      <c r="H160">
        <v>1638</v>
      </c>
    </row>
    <row r="161" spans="1:8" x14ac:dyDescent="0.3">
      <c r="A161" t="s">
        <v>180</v>
      </c>
      <c r="B161" s="4">
        <v>45705</v>
      </c>
      <c r="C161" t="s">
        <v>29</v>
      </c>
      <c r="D161" t="s">
        <v>30</v>
      </c>
      <c r="E161" t="s">
        <v>18</v>
      </c>
      <c r="F161">
        <v>6</v>
      </c>
      <c r="G161">
        <v>852</v>
      </c>
      <c r="H161">
        <v>5112</v>
      </c>
    </row>
    <row r="162" spans="1:8" x14ac:dyDescent="0.3">
      <c r="A162" t="s">
        <v>181</v>
      </c>
      <c r="B162" s="4">
        <v>45710</v>
      </c>
      <c r="C162" t="s">
        <v>12</v>
      </c>
      <c r="D162" t="s">
        <v>13</v>
      </c>
      <c r="E162" t="s">
        <v>14</v>
      </c>
      <c r="F162">
        <v>10</v>
      </c>
      <c r="G162">
        <v>594</v>
      </c>
      <c r="H162">
        <v>5940</v>
      </c>
    </row>
    <row r="163" spans="1:8" x14ac:dyDescent="0.3">
      <c r="A163" t="s">
        <v>182</v>
      </c>
      <c r="B163" s="4">
        <v>45665</v>
      </c>
      <c r="C163" t="s">
        <v>12</v>
      </c>
      <c r="D163" t="s">
        <v>27</v>
      </c>
      <c r="E163" t="s">
        <v>18</v>
      </c>
      <c r="F163">
        <v>9</v>
      </c>
      <c r="G163">
        <v>264</v>
      </c>
      <c r="H163">
        <v>2376</v>
      </c>
    </row>
    <row r="164" spans="1:8" x14ac:dyDescent="0.3">
      <c r="A164" t="s">
        <v>183</v>
      </c>
      <c r="B164" s="4">
        <v>45675</v>
      </c>
      <c r="C164" t="s">
        <v>12</v>
      </c>
      <c r="D164" t="s">
        <v>9</v>
      </c>
      <c r="E164" t="s">
        <v>10</v>
      </c>
      <c r="F164">
        <v>8</v>
      </c>
      <c r="G164">
        <v>593</v>
      </c>
      <c r="H164">
        <v>4744</v>
      </c>
    </row>
    <row r="165" spans="1:8" x14ac:dyDescent="0.3">
      <c r="A165" t="s">
        <v>184</v>
      </c>
      <c r="B165" s="4">
        <v>45675</v>
      </c>
      <c r="C165" t="s">
        <v>12</v>
      </c>
      <c r="D165" t="s">
        <v>27</v>
      </c>
      <c r="E165" t="s">
        <v>18</v>
      </c>
      <c r="F165">
        <v>8</v>
      </c>
      <c r="G165">
        <v>692</v>
      </c>
      <c r="H165">
        <v>5536</v>
      </c>
    </row>
    <row r="166" spans="1:8" x14ac:dyDescent="0.3">
      <c r="A166" t="s">
        <v>185</v>
      </c>
      <c r="B166" s="4">
        <v>45692</v>
      </c>
      <c r="C166" t="s">
        <v>25</v>
      </c>
      <c r="D166" t="s">
        <v>23</v>
      </c>
      <c r="E166" t="s">
        <v>10</v>
      </c>
      <c r="F166">
        <v>6</v>
      </c>
      <c r="G166">
        <v>676</v>
      </c>
      <c r="H166">
        <v>4056</v>
      </c>
    </row>
    <row r="167" spans="1:8" x14ac:dyDescent="0.3">
      <c r="A167" t="s">
        <v>186</v>
      </c>
      <c r="B167" s="4">
        <v>45694</v>
      </c>
      <c r="C167" t="s">
        <v>12</v>
      </c>
      <c r="D167" t="s">
        <v>23</v>
      </c>
      <c r="E167" t="s">
        <v>10</v>
      </c>
      <c r="F167">
        <v>1</v>
      </c>
      <c r="G167">
        <v>681</v>
      </c>
      <c r="H167">
        <v>681</v>
      </c>
    </row>
    <row r="168" spans="1:8" x14ac:dyDescent="0.3">
      <c r="A168" t="s">
        <v>187</v>
      </c>
      <c r="B168" s="4">
        <v>45707</v>
      </c>
      <c r="C168" t="s">
        <v>8</v>
      </c>
      <c r="D168" t="s">
        <v>23</v>
      </c>
      <c r="E168" t="s">
        <v>10</v>
      </c>
      <c r="F168">
        <v>1</v>
      </c>
      <c r="G168">
        <v>590</v>
      </c>
      <c r="H168">
        <v>590</v>
      </c>
    </row>
    <row r="169" spans="1:8" x14ac:dyDescent="0.3">
      <c r="A169" t="s">
        <v>188</v>
      </c>
      <c r="B169" s="4">
        <v>45704</v>
      </c>
      <c r="C169" t="s">
        <v>25</v>
      </c>
      <c r="D169" t="s">
        <v>30</v>
      </c>
      <c r="E169" t="s">
        <v>18</v>
      </c>
      <c r="F169">
        <v>9</v>
      </c>
      <c r="G169">
        <v>310</v>
      </c>
      <c r="H169">
        <v>2790</v>
      </c>
    </row>
    <row r="170" spans="1:8" x14ac:dyDescent="0.3">
      <c r="A170" t="s">
        <v>189</v>
      </c>
      <c r="B170" s="4">
        <v>45714</v>
      </c>
      <c r="C170" t="s">
        <v>25</v>
      </c>
      <c r="D170" t="s">
        <v>30</v>
      </c>
      <c r="E170" t="s">
        <v>18</v>
      </c>
      <c r="F170">
        <v>1</v>
      </c>
      <c r="G170">
        <v>787</v>
      </c>
      <c r="H170">
        <v>787</v>
      </c>
    </row>
    <row r="171" spans="1:8" x14ac:dyDescent="0.3">
      <c r="A171" t="s">
        <v>190</v>
      </c>
      <c r="B171" s="4">
        <v>45674</v>
      </c>
      <c r="C171" t="s">
        <v>29</v>
      </c>
      <c r="D171" t="s">
        <v>30</v>
      </c>
      <c r="E171" t="s">
        <v>18</v>
      </c>
      <c r="F171">
        <v>10</v>
      </c>
      <c r="G171">
        <v>123</v>
      </c>
      <c r="H171">
        <v>1230</v>
      </c>
    </row>
    <row r="172" spans="1:8" x14ac:dyDescent="0.3">
      <c r="A172" t="s">
        <v>191</v>
      </c>
      <c r="B172" s="4">
        <v>45703</v>
      </c>
      <c r="C172" t="s">
        <v>25</v>
      </c>
      <c r="D172" t="s">
        <v>13</v>
      </c>
      <c r="E172" t="s">
        <v>14</v>
      </c>
      <c r="F172">
        <v>8</v>
      </c>
      <c r="G172">
        <v>37</v>
      </c>
      <c r="H172">
        <v>296</v>
      </c>
    </row>
    <row r="173" spans="1:8" x14ac:dyDescent="0.3">
      <c r="A173" t="s">
        <v>192</v>
      </c>
      <c r="B173" s="4">
        <v>45693</v>
      </c>
      <c r="C173" t="s">
        <v>29</v>
      </c>
      <c r="D173" t="s">
        <v>32</v>
      </c>
      <c r="E173" t="s">
        <v>18</v>
      </c>
      <c r="F173">
        <v>1</v>
      </c>
      <c r="G173">
        <v>139</v>
      </c>
      <c r="H173">
        <v>139</v>
      </c>
    </row>
    <row r="174" spans="1:8" x14ac:dyDescent="0.3">
      <c r="A174" t="s">
        <v>193</v>
      </c>
      <c r="B174" s="4">
        <v>45708</v>
      </c>
      <c r="C174" t="s">
        <v>12</v>
      </c>
      <c r="D174" t="s">
        <v>9</v>
      </c>
      <c r="E174" t="s">
        <v>10</v>
      </c>
      <c r="F174">
        <v>10</v>
      </c>
      <c r="G174">
        <v>169</v>
      </c>
      <c r="H174">
        <v>1690</v>
      </c>
    </row>
    <row r="175" spans="1:8" x14ac:dyDescent="0.3">
      <c r="A175" t="s">
        <v>194</v>
      </c>
      <c r="B175" s="4">
        <v>45715</v>
      </c>
      <c r="C175" t="s">
        <v>25</v>
      </c>
      <c r="D175" t="s">
        <v>30</v>
      </c>
      <c r="E175" t="s">
        <v>18</v>
      </c>
      <c r="F175">
        <v>1</v>
      </c>
      <c r="G175">
        <v>117</v>
      </c>
      <c r="H175">
        <v>117</v>
      </c>
    </row>
    <row r="176" spans="1:8" x14ac:dyDescent="0.3">
      <c r="A176" t="s">
        <v>195</v>
      </c>
      <c r="B176" s="4">
        <v>45659</v>
      </c>
      <c r="C176" t="s">
        <v>8</v>
      </c>
      <c r="D176" t="s">
        <v>13</v>
      </c>
      <c r="E176" t="s">
        <v>14</v>
      </c>
      <c r="F176">
        <v>7</v>
      </c>
      <c r="G176">
        <v>371</v>
      </c>
      <c r="H176">
        <v>2597</v>
      </c>
    </row>
    <row r="177" spans="1:8" x14ac:dyDescent="0.3">
      <c r="A177" t="s">
        <v>196</v>
      </c>
      <c r="B177" s="4">
        <v>45685</v>
      </c>
      <c r="C177" t="s">
        <v>12</v>
      </c>
      <c r="D177" t="s">
        <v>13</v>
      </c>
      <c r="E177" t="s">
        <v>14</v>
      </c>
      <c r="F177">
        <v>5</v>
      </c>
      <c r="G177">
        <v>240</v>
      </c>
      <c r="H177">
        <v>1200</v>
      </c>
    </row>
    <row r="178" spans="1:8" x14ac:dyDescent="0.3">
      <c r="A178" t="s">
        <v>197</v>
      </c>
      <c r="B178" s="4">
        <v>45706</v>
      </c>
      <c r="C178" t="s">
        <v>25</v>
      </c>
      <c r="D178" t="s">
        <v>27</v>
      </c>
      <c r="E178" t="s">
        <v>18</v>
      </c>
      <c r="F178">
        <v>3</v>
      </c>
      <c r="G178">
        <v>748</v>
      </c>
      <c r="H178">
        <v>2244</v>
      </c>
    </row>
    <row r="179" spans="1:8" x14ac:dyDescent="0.3">
      <c r="A179" t="s">
        <v>198</v>
      </c>
      <c r="B179" s="4">
        <v>45689</v>
      </c>
      <c r="C179" t="s">
        <v>29</v>
      </c>
      <c r="D179" t="s">
        <v>23</v>
      </c>
      <c r="E179" t="s">
        <v>10</v>
      </c>
      <c r="F179">
        <v>1</v>
      </c>
      <c r="G179">
        <v>798</v>
      </c>
      <c r="H179">
        <v>798</v>
      </c>
    </row>
    <row r="180" spans="1:8" x14ac:dyDescent="0.3">
      <c r="A180" t="s">
        <v>199</v>
      </c>
      <c r="B180" s="4">
        <v>45680</v>
      </c>
      <c r="C180" t="s">
        <v>29</v>
      </c>
      <c r="D180" t="s">
        <v>9</v>
      </c>
      <c r="E180" t="s">
        <v>10</v>
      </c>
      <c r="F180">
        <v>10</v>
      </c>
      <c r="G180">
        <v>361</v>
      </c>
      <c r="H180">
        <v>3610</v>
      </c>
    </row>
    <row r="181" spans="1:8" x14ac:dyDescent="0.3">
      <c r="A181" t="s">
        <v>200</v>
      </c>
      <c r="B181" s="4">
        <v>45665</v>
      </c>
      <c r="C181" t="s">
        <v>12</v>
      </c>
      <c r="D181" t="s">
        <v>17</v>
      </c>
      <c r="E181" t="s">
        <v>18</v>
      </c>
      <c r="F181">
        <v>6</v>
      </c>
      <c r="G181">
        <v>68</v>
      </c>
      <c r="H181">
        <v>408</v>
      </c>
    </row>
    <row r="182" spans="1:8" x14ac:dyDescent="0.3">
      <c r="A182" t="s">
        <v>201</v>
      </c>
      <c r="B182" s="4">
        <v>45665</v>
      </c>
      <c r="C182" t="s">
        <v>29</v>
      </c>
      <c r="D182" t="s">
        <v>27</v>
      </c>
      <c r="E182" t="s">
        <v>18</v>
      </c>
      <c r="F182">
        <v>3</v>
      </c>
      <c r="G182">
        <v>672</v>
      </c>
      <c r="H182">
        <v>2016</v>
      </c>
    </row>
    <row r="183" spans="1:8" x14ac:dyDescent="0.3">
      <c r="A183" t="s">
        <v>202</v>
      </c>
      <c r="B183" s="4">
        <v>45711</v>
      </c>
      <c r="C183" t="s">
        <v>25</v>
      </c>
      <c r="D183" t="s">
        <v>23</v>
      </c>
      <c r="E183" t="s">
        <v>10</v>
      </c>
      <c r="F183">
        <v>6</v>
      </c>
      <c r="G183">
        <v>309</v>
      </c>
      <c r="H183">
        <v>1854</v>
      </c>
    </row>
    <row r="184" spans="1:8" x14ac:dyDescent="0.3">
      <c r="A184" t="s">
        <v>203</v>
      </c>
      <c r="B184" s="4">
        <v>45698</v>
      </c>
      <c r="C184" t="s">
        <v>29</v>
      </c>
      <c r="D184" t="s">
        <v>32</v>
      </c>
      <c r="E184" t="s">
        <v>18</v>
      </c>
      <c r="F184">
        <v>8</v>
      </c>
      <c r="G184">
        <v>346</v>
      </c>
      <c r="H184">
        <v>2768</v>
      </c>
    </row>
    <row r="185" spans="1:8" x14ac:dyDescent="0.3">
      <c r="A185" t="s">
        <v>204</v>
      </c>
      <c r="B185" s="4">
        <v>45673</v>
      </c>
      <c r="C185" t="s">
        <v>29</v>
      </c>
      <c r="D185" t="s">
        <v>32</v>
      </c>
      <c r="E185" t="s">
        <v>18</v>
      </c>
      <c r="F185">
        <v>2</v>
      </c>
      <c r="G185">
        <v>200</v>
      </c>
      <c r="H185">
        <v>400</v>
      </c>
    </row>
    <row r="186" spans="1:8" x14ac:dyDescent="0.3">
      <c r="A186" t="s">
        <v>205</v>
      </c>
      <c r="B186" s="4">
        <v>45668</v>
      </c>
      <c r="C186" t="s">
        <v>25</v>
      </c>
      <c r="D186" t="s">
        <v>27</v>
      </c>
      <c r="E186" t="s">
        <v>18</v>
      </c>
      <c r="F186">
        <v>1</v>
      </c>
      <c r="G186">
        <v>818</v>
      </c>
      <c r="H186">
        <v>818</v>
      </c>
    </row>
    <row r="187" spans="1:8" x14ac:dyDescent="0.3">
      <c r="A187" t="s">
        <v>206</v>
      </c>
      <c r="B187" s="4">
        <v>45696</v>
      </c>
      <c r="C187" t="s">
        <v>25</v>
      </c>
      <c r="D187" t="s">
        <v>13</v>
      </c>
      <c r="E187" t="s">
        <v>14</v>
      </c>
      <c r="F187">
        <v>4</v>
      </c>
      <c r="G187">
        <v>81</v>
      </c>
      <c r="H187">
        <v>324</v>
      </c>
    </row>
    <row r="188" spans="1:8" x14ac:dyDescent="0.3">
      <c r="A188" t="s">
        <v>207</v>
      </c>
      <c r="B188" s="4">
        <v>45697</v>
      </c>
      <c r="C188" t="s">
        <v>25</v>
      </c>
      <c r="D188" t="s">
        <v>32</v>
      </c>
      <c r="E188" t="s">
        <v>18</v>
      </c>
      <c r="F188">
        <v>7</v>
      </c>
      <c r="G188">
        <v>399</v>
      </c>
      <c r="H188">
        <v>2793</v>
      </c>
    </row>
    <row r="189" spans="1:8" x14ac:dyDescent="0.3">
      <c r="A189" t="s">
        <v>208</v>
      </c>
      <c r="B189" s="4">
        <v>45689</v>
      </c>
      <c r="C189" t="s">
        <v>12</v>
      </c>
      <c r="D189" t="s">
        <v>13</v>
      </c>
      <c r="E189" t="s">
        <v>14</v>
      </c>
      <c r="F189">
        <v>10</v>
      </c>
      <c r="G189">
        <v>890</v>
      </c>
      <c r="H189">
        <v>8900</v>
      </c>
    </row>
    <row r="190" spans="1:8" x14ac:dyDescent="0.3">
      <c r="A190" t="s">
        <v>209</v>
      </c>
      <c r="B190" s="4">
        <v>45705</v>
      </c>
      <c r="C190" t="s">
        <v>12</v>
      </c>
      <c r="D190" t="s">
        <v>17</v>
      </c>
      <c r="E190" t="s">
        <v>18</v>
      </c>
      <c r="F190">
        <v>5</v>
      </c>
      <c r="G190">
        <v>475</v>
      </c>
      <c r="H190">
        <v>2375</v>
      </c>
    </row>
    <row r="191" spans="1:8" x14ac:dyDescent="0.3">
      <c r="A191" t="s">
        <v>210</v>
      </c>
      <c r="B191" s="4">
        <v>45677</v>
      </c>
      <c r="C191" t="s">
        <v>29</v>
      </c>
      <c r="D191" t="s">
        <v>17</v>
      </c>
      <c r="E191" t="s">
        <v>18</v>
      </c>
      <c r="F191">
        <v>10</v>
      </c>
      <c r="G191">
        <v>564</v>
      </c>
      <c r="H191">
        <v>5640</v>
      </c>
    </row>
    <row r="192" spans="1:8" x14ac:dyDescent="0.3">
      <c r="A192" t="s">
        <v>211</v>
      </c>
      <c r="B192" s="4">
        <v>45701</v>
      </c>
      <c r="C192" t="s">
        <v>25</v>
      </c>
      <c r="D192" t="s">
        <v>27</v>
      </c>
      <c r="E192" t="s">
        <v>18</v>
      </c>
      <c r="F192">
        <v>10</v>
      </c>
      <c r="G192">
        <v>580</v>
      </c>
      <c r="H192">
        <v>5800</v>
      </c>
    </row>
    <row r="193" spans="1:8" x14ac:dyDescent="0.3">
      <c r="A193" t="s">
        <v>212</v>
      </c>
      <c r="B193" s="4">
        <v>45691</v>
      </c>
      <c r="C193" t="s">
        <v>29</v>
      </c>
      <c r="D193" t="s">
        <v>32</v>
      </c>
      <c r="E193" t="s">
        <v>18</v>
      </c>
      <c r="F193">
        <v>4</v>
      </c>
      <c r="G193">
        <v>693</v>
      </c>
      <c r="H193">
        <v>2772</v>
      </c>
    </row>
    <row r="194" spans="1:8" x14ac:dyDescent="0.3">
      <c r="A194" t="s">
        <v>213</v>
      </c>
      <c r="B194" s="4">
        <v>45707</v>
      </c>
      <c r="C194" t="s">
        <v>25</v>
      </c>
      <c r="D194" t="s">
        <v>9</v>
      </c>
      <c r="E194" t="s">
        <v>10</v>
      </c>
      <c r="F194">
        <v>7</v>
      </c>
      <c r="G194">
        <v>233</v>
      </c>
      <c r="H194">
        <v>1631</v>
      </c>
    </row>
    <row r="195" spans="1:8" x14ac:dyDescent="0.3">
      <c r="A195" t="s">
        <v>214</v>
      </c>
      <c r="B195" s="4">
        <v>45669</v>
      </c>
      <c r="C195" t="s">
        <v>8</v>
      </c>
      <c r="D195" t="s">
        <v>30</v>
      </c>
      <c r="E195" t="s">
        <v>18</v>
      </c>
      <c r="F195">
        <v>2</v>
      </c>
      <c r="G195">
        <v>655</v>
      </c>
      <c r="H195">
        <v>1310</v>
      </c>
    </row>
    <row r="196" spans="1:8" x14ac:dyDescent="0.3">
      <c r="A196" t="s">
        <v>215</v>
      </c>
      <c r="B196" s="4">
        <v>45665</v>
      </c>
      <c r="C196" t="s">
        <v>29</v>
      </c>
      <c r="D196" t="s">
        <v>30</v>
      </c>
      <c r="E196" t="s">
        <v>18</v>
      </c>
      <c r="F196">
        <v>5</v>
      </c>
      <c r="G196">
        <v>408</v>
      </c>
      <c r="H196">
        <v>2040</v>
      </c>
    </row>
    <row r="197" spans="1:8" x14ac:dyDescent="0.3">
      <c r="A197" t="s">
        <v>216</v>
      </c>
      <c r="B197" s="4">
        <v>45679</v>
      </c>
      <c r="C197" t="s">
        <v>29</v>
      </c>
      <c r="D197" t="s">
        <v>32</v>
      </c>
      <c r="E197" t="s">
        <v>18</v>
      </c>
      <c r="F197">
        <v>10</v>
      </c>
      <c r="G197">
        <v>49</v>
      </c>
      <c r="H197">
        <v>490</v>
      </c>
    </row>
    <row r="198" spans="1:8" x14ac:dyDescent="0.3">
      <c r="A198" t="s">
        <v>217</v>
      </c>
      <c r="B198" s="4">
        <v>45672</v>
      </c>
      <c r="C198" t="s">
        <v>8</v>
      </c>
      <c r="D198" t="s">
        <v>23</v>
      </c>
      <c r="E198" t="s">
        <v>10</v>
      </c>
      <c r="F198">
        <v>6</v>
      </c>
      <c r="G198">
        <v>125</v>
      </c>
      <c r="H198">
        <v>750</v>
      </c>
    </row>
    <row r="199" spans="1:8" x14ac:dyDescent="0.3">
      <c r="A199" t="s">
        <v>218</v>
      </c>
      <c r="B199" s="4">
        <v>45699</v>
      </c>
      <c r="C199" t="s">
        <v>8</v>
      </c>
      <c r="D199" t="s">
        <v>9</v>
      </c>
      <c r="E199" t="s">
        <v>10</v>
      </c>
      <c r="F199">
        <v>4</v>
      </c>
      <c r="G199">
        <v>363</v>
      </c>
      <c r="H199">
        <v>1452</v>
      </c>
    </row>
    <row r="200" spans="1:8" x14ac:dyDescent="0.3">
      <c r="A200" t="s">
        <v>219</v>
      </c>
      <c r="B200" s="4">
        <v>45680</v>
      </c>
      <c r="C200" t="s">
        <v>12</v>
      </c>
      <c r="D200" t="s">
        <v>23</v>
      </c>
      <c r="E200" t="s">
        <v>10</v>
      </c>
      <c r="F200">
        <v>5</v>
      </c>
      <c r="G200">
        <v>611</v>
      </c>
      <c r="H200">
        <v>3055</v>
      </c>
    </row>
    <row r="201" spans="1:8" x14ac:dyDescent="0.3">
      <c r="A201" t="s">
        <v>220</v>
      </c>
      <c r="B201" s="4">
        <v>45658</v>
      </c>
      <c r="C201" t="s">
        <v>25</v>
      </c>
      <c r="D201" t="s">
        <v>30</v>
      </c>
      <c r="E201" t="s">
        <v>18</v>
      </c>
      <c r="F201">
        <v>2</v>
      </c>
      <c r="G201">
        <v>636</v>
      </c>
      <c r="H201">
        <v>1272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4DF6-55CC-4D31-84F9-038635177FDC}">
  <dimension ref="B3:T27"/>
  <sheetViews>
    <sheetView workbookViewId="0">
      <selection activeCell="U15" sqref="U15"/>
    </sheetView>
  </sheetViews>
  <sheetFormatPr defaultRowHeight="15.05" x14ac:dyDescent="0.3"/>
  <cols>
    <col min="2" max="2" width="19.6640625" bestFit="1" customWidth="1"/>
    <col min="4" max="4" width="16.44140625" bestFit="1" customWidth="1"/>
    <col min="6" max="6" width="14.88671875" bestFit="1" customWidth="1"/>
    <col min="10" max="10" width="12.44140625" bestFit="1" customWidth="1"/>
    <col min="11" max="11" width="19.6640625" bestFit="1" customWidth="1"/>
    <col min="12" max="12" width="9.77734375" customWidth="1"/>
    <col min="13" max="13" width="13.5546875" bestFit="1" customWidth="1"/>
    <col min="14" max="14" width="19.6640625" bestFit="1" customWidth="1"/>
    <col min="16" max="17" width="12.44140625" bestFit="1" customWidth="1"/>
    <col min="18" max="18" width="19.6640625" bestFit="1" customWidth="1"/>
    <col min="19" max="19" width="12.44140625" bestFit="1" customWidth="1"/>
    <col min="20" max="20" width="19.6640625" bestFit="1" customWidth="1"/>
  </cols>
  <sheetData>
    <row r="3" spans="2:20" x14ac:dyDescent="0.3">
      <c r="J3" s="1" t="s">
        <v>223</v>
      </c>
      <c r="K3" t="s">
        <v>222</v>
      </c>
      <c r="M3" s="1" t="s">
        <v>223</v>
      </c>
      <c r="N3" t="s">
        <v>222</v>
      </c>
      <c r="P3" s="1" t="s">
        <v>223</v>
      </c>
      <c r="Q3" t="s">
        <v>222</v>
      </c>
      <c r="S3" s="1" t="s">
        <v>223</v>
      </c>
      <c r="T3" t="s">
        <v>222</v>
      </c>
    </row>
    <row r="4" spans="2:20" x14ac:dyDescent="0.3">
      <c r="B4" t="s">
        <v>222</v>
      </c>
      <c r="D4" t="s">
        <v>228</v>
      </c>
      <c r="F4" t="s">
        <v>229</v>
      </c>
      <c r="J4" s="2" t="s">
        <v>25</v>
      </c>
      <c r="K4" s="6">
        <v>116463</v>
      </c>
      <c r="M4" s="2" t="s">
        <v>18</v>
      </c>
      <c r="N4" s="6">
        <v>227030</v>
      </c>
      <c r="P4" s="2" t="s">
        <v>13</v>
      </c>
      <c r="Q4" s="6">
        <v>90635</v>
      </c>
      <c r="S4" s="2" t="s">
        <v>225</v>
      </c>
      <c r="T4" s="6">
        <v>192567</v>
      </c>
    </row>
    <row r="5" spans="2:20" x14ac:dyDescent="0.3">
      <c r="B5" s="6">
        <v>446786</v>
      </c>
      <c r="D5" s="6">
        <v>200</v>
      </c>
      <c r="F5" s="6">
        <v>1080</v>
      </c>
      <c r="J5" s="2" t="s">
        <v>12</v>
      </c>
      <c r="K5" s="6">
        <v>104808</v>
      </c>
      <c r="M5" s="3" t="s">
        <v>27</v>
      </c>
      <c r="N5" s="6">
        <v>64187</v>
      </c>
      <c r="P5" s="2" t="s">
        <v>27</v>
      </c>
      <c r="Q5" s="6">
        <v>64187</v>
      </c>
      <c r="S5" s="2" t="s">
        <v>226</v>
      </c>
      <c r="T5" s="6">
        <v>242954</v>
      </c>
    </row>
    <row r="6" spans="2:20" x14ac:dyDescent="0.3">
      <c r="J6" s="2" t="s">
        <v>8</v>
      </c>
      <c r="K6" s="6">
        <v>108472</v>
      </c>
      <c r="M6" s="3" t="s">
        <v>17</v>
      </c>
      <c r="N6" s="6">
        <v>53108</v>
      </c>
      <c r="P6" s="2" t="s">
        <v>17</v>
      </c>
      <c r="Q6" s="6">
        <v>53108</v>
      </c>
      <c r="S6" s="2" t="s">
        <v>227</v>
      </c>
      <c r="T6" s="6">
        <v>11265</v>
      </c>
    </row>
    <row r="7" spans="2:20" x14ac:dyDescent="0.3">
      <c r="B7" s="5">
        <f>GETPIVOTDATA("Total Revenue",$B$4)</f>
        <v>446786</v>
      </c>
      <c r="D7">
        <f>GETPIVOTDATA("Order_ID",$D$4)</f>
        <v>200</v>
      </c>
      <c r="F7">
        <f>GETPIVOTDATA("Quantity",$F$4)</f>
        <v>1080</v>
      </c>
      <c r="J7" s="2" t="s">
        <v>29</v>
      </c>
      <c r="K7" s="6">
        <v>117043</v>
      </c>
      <c r="M7" s="3" t="s">
        <v>32</v>
      </c>
      <c r="N7" s="6">
        <v>43717</v>
      </c>
      <c r="P7" s="2" t="s">
        <v>32</v>
      </c>
      <c r="Q7" s="6">
        <v>43717</v>
      </c>
      <c r="S7" s="2" t="s">
        <v>224</v>
      </c>
      <c r="T7" s="6">
        <v>446786</v>
      </c>
    </row>
    <row r="8" spans="2:20" x14ac:dyDescent="0.3">
      <c r="J8" s="2" t="s">
        <v>224</v>
      </c>
      <c r="K8" s="6">
        <v>446786</v>
      </c>
      <c r="M8" s="3" t="s">
        <v>30</v>
      </c>
      <c r="N8" s="6">
        <v>66018</v>
      </c>
      <c r="P8" s="2" t="s">
        <v>30</v>
      </c>
      <c r="Q8" s="6">
        <v>66018</v>
      </c>
    </row>
    <row r="9" spans="2:20" x14ac:dyDescent="0.3">
      <c r="M9" s="2" t="s">
        <v>14</v>
      </c>
      <c r="N9" s="6">
        <v>90635</v>
      </c>
      <c r="P9" s="2" t="s">
        <v>9</v>
      </c>
      <c r="Q9" s="6">
        <v>78975</v>
      </c>
    </row>
    <row r="10" spans="2:20" x14ac:dyDescent="0.3">
      <c r="M10" s="3" t="s">
        <v>13</v>
      </c>
      <c r="N10" s="6">
        <v>90635</v>
      </c>
      <c r="P10" s="2" t="s">
        <v>23</v>
      </c>
      <c r="Q10" s="6">
        <v>50146</v>
      </c>
    </row>
    <row r="11" spans="2:20" x14ac:dyDescent="0.3">
      <c r="J11" s="6" t="e" vm="1">
        <v>#VALUE!</v>
      </c>
      <c r="M11" s="2" t="s">
        <v>10</v>
      </c>
      <c r="N11" s="6">
        <v>129121</v>
      </c>
      <c r="P11" s="2" t="s">
        <v>224</v>
      </c>
      <c r="Q11" s="6">
        <v>446786</v>
      </c>
    </row>
    <row r="12" spans="2:20" x14ac:dyDescent="0.3">
      <c r="M12" s="3" t="s">
        <v>9</v>
      </c>
      <c r="N12" s="6">
        <v>78975</v>
      </c>
    </row>
    <row r="13" spans="2:20" x14ac:dyDescent="0.3">
      <c r="M13" s="3" t="s">
        <v>23</v>
      </c>
      <c r="N13" s="6">
        <v>50146</v>
      </c>
    </row>
    <row r="14" spans="2:20" x14ac:dyDescent="0.3">
      <c r="M14" s="2" t="s">
        <v>224</v>
      </c>
      <c r="N14" s="6">
        <v>446786</v>
      </c>
      <c r="Q14" s="1" t="s">
        <v>223</v>
      </c>
      <c r="R14" t="s">
        <v>222</v>
      </c>
    </row>
    <row r="15" spans="2:20" x14ac:dyDescent="0.3">
      <c r="Q15" s="2" t="s">
        <v>18</v>
      </c>
      <c r="R15" s="6">
        <v>227030</v>
      </c>
    </row>
    <row r="16" spans="2:20" x14ac:dyDescent="0.3">
      <c r="Q16" s="2" t="s">
        <v>14</v>
      </c>
      <c r="R16" s="6">
        <v>90635</v>
      </c>
    </row>
    <row r="17" spans="10:18" x14ac:dyDescent="0.3">
      <c r="Q17" s="2" t="s">
        <v>10</v>
      </c>
      <c r="R17" s="6">
        <v>129121</v>
      </c>
    </row>
    <row r="18" spans="10:18" x14ac:dyDescent="0.3">
      <c r="Q18" s="2" t="s">
        <v>224</v>
      </c>
      <c r="R18" s="6">
        <v>446786</v>
      </c>
    </row>
    <row r="19" spans="10:18" x14ac:dyDescent="0.3">
      <c r="J19" s="1" t="s">
        <v>223</v>
      </c>
      <c r="K19" t="s">
        <v>222</v>
      </c>
    </row>
    <row r="20" spans="10:18" x14ac:dyDescent="0.3">
      <c r="J20" s="2" t="s">
        <v>13</v>
      </c>
      <c r="K20">
        <v>90635</v>
      </c>
    </row>
    <row r="21" spans="10:18" x14ac:dyDescent="0.3">
      <c r="J21" s="2" t="s">
        <v>27</v>
      </c>
      <c r="K21">
        <v>64187</v>
      </c>
    </row>
    <row r="22" spans="10:18" x14ac:dyDescent="0.3">
      <c r="J22" s="2" t="s">
        <v>17</v>
      </c>
      <c r="K22">
        <v>53108</v>
      </c>
    </row>
    <row r="23" spans="10:18" x14ac:dyDescent="0.3">
      <c r="J23" s="2" t="s">
        <v>32</v>
      </c>
      <c r="K23">
        <v>43717</v>
      </c>
    </row>
    <row r="24" spans="10:18" x14ac:dyDescent="0.3">
      <c r="J24" s="2" t="s">
        <v>30</v>
      </c>
      <c r="K24">
        <v>66018</v>
      </c>
    </row>
    <row r="25" spans="10:18" x14ac:dyDescent="0.3">
      <c r="J25" s="2" t="s">
        <v>9</v>
      </c>
      <c r="K25">
        <v>78975</v>
      </c>
    </row>
    <row r="26" spans="10:18" x14ac:dyDescent="0.3">
      <c r="J26" s="2" t="s">
        <v>23</v>
      </c>
      <c r="K26">
        <v>50146</v>
      </c>
    </row>
    <row r="27" spans="10:18" x14ac:dyDescent="0.3">
      <c r="J27" s="2" t="s">
        <v>224</v>
      </c>
      <c r="K27">
        <v>446786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BD3E-2E1B-4EE3-8DA7-FD7FFB26CF79}">
  <dimension ref="A1"/>
  <sheetViews>
    <sheetView showGridLines="0" tabSelected="1" topLeftCell="A4" zoomScale="70" zoomScaleNormal="70" workbookViewId="0">
      <selection activeCell="U14" sqref="U14"/>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D8AC7C-569E-43E0-BA92-76B10BD681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reddy</dc:creator>
  <cp:lastModifiedBy>Kona Chinna Babu</cp:lastModifiedBy>
  <dcterms:created xsi:type="dcterms:W3CDTF">2026-03-16T11:18:15Z</dcterms:created>
  <dcterms:modified xsi:type="dcterms:W3CDTF">2026-03-17T05:08:36Z</dcterms:modified>
</cp:coreProperties>
</file>